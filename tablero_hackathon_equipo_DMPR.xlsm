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tables/table5.xml" ContentType="application/vnd.openxmlformats-officedocument.spreadsheetml.table+xml"/>
  <Override PartName="/xl/worksheets/sheet7.xml" ContentType="application/vnd.openxmlformats-officedocument.spreadsheetml.worksheet+xml"/>
  <Override PartName="/xl/tables/table6.xml" ContentType="application/vnd.openxmlformats-officedocument.spreadsheetml.table+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Sprint Board" sheetId="2" state="visible" r:id="rId2"/>
    <sheet name="Sprint Plan" sheetId="3" state="visible" r:id="rId3"/>
    <sheet name="Accounts &amp; Data" sheetId="4" state="visible" r:id="rId4"/>
    <sheet name="DB Corrections" sheetId="5" state="visible" r:id="rId5"/>
    <sheet name="UI Screens" sheetId="6" state="visible" r:id="rId6"/>
    <sheet name="Risks" sheetId="7" state="visible" r:id="rId7"/>
    <sheet name="Lists" sheetId="8" state="visible" r:id="rId8"/>
  </sheets>
  <definedNames/>
  <calcPr calcId="124519" fullCalcOnLoad="1"/>
</workbook>
</file>

<file path=xl/styles.xml><?xml version="1.0" encoding="utf-8"?>
<styleSheet xmlns="http://schemas.openxmlformats.org/spreadsheetml/2006/main">
  <numFmts count="1">
    <numFmt numFmtId="164" formatCode="0.0"/>
  </numFmts>
  <fonts count="6">
    <font>
      <name val="Carlito"/>
      <color rgb="FF000000"/>
      <sz val="11"/>
      <scheme val="minor"/>
    </font>
    <font>
      <name val="Carlito"/>
      <b val="1"/>
      <color rgb="FFFFFFFF"/>
      <sz val="18"/>
    </font>
    <font>
      <name val="Carlito"/>
      <color theme="1"/>
      <sz val="11"/>
    </font>
    <font>
      <name val="Carlito"/>
      <b val="1"/>
      <color rgb="FF17212B"/>
      <sz val="11"/>
    </font>
    <font>
      <name val="Carlito"/>
      <b val="1"/>
      <color rgb="FFFFFFFF"/>
      <sz val="11"/>
    </font>
    <font>
      <name val="Carlito"/>
      <color theme="1"/>
      <scheme val="minor"/>
    </font>
  </fonts>
  <fills count="5">
    <fill>
      <patternFill/>
    </fill>
    <fill>
      <patternFill patternType="lightGray"/>
    </fill>
    <fill>
      <patternFill patternType="solid">
        <fgColor rgb="FF17212B"/>
        <bgColor rgb="FF17212B"/>
      </patternFill>
    </fill>
    <fill>
      <patternFill patternType="solid">
        <fgColor rgb="FFDDF5E9"/>
        <bgColor rgb="FFDDF5E9"/>
      </patternFill>
    </fill>
    <fill>
      <patternFill patternType="solid">
        <fgColor rgb="FF0B6B4F"/>
        <bgColor rgb="FF0B6B4F"/>
      </patternFill>
    </fill>
  </fills>
  <borders count="1">
    <border/>
  </borders>
  <cellStyleXfs count="1">
    <xf numFmtId="0" fontId="0" fillId="0" borderId="0"/>
  </cellStyleXfs>
  <cellXfs count="16">
    <xf numFmtId="0" fontId="0" fillId="0" borderId="0" applyAlignment="1" pivotButton="0" quotePrefix="0" xfId="0">
      <alignment vertical="bottom"/>
    </xf>
    <xf numFmtId="0" fontId="1" fillId="2" borderId="0" applyAlignment="1" pivotButton="0" quotePrefix="0" xfId="0">
      <alignment horizontal="left" vertical="center" wrapText="1"/>
    </xf>
    <xf numFmtId="0" fontId="2" fillId="0" borderId="0" applyAlignment="1" pivotButton="0" quotePrefix="0" xfId="0">
      <alignment wrapText="1"/>
    </xf>
    <xf numFmtId="0" fontId="3" fillId="3" borderId="0" applyAlignment="1" pivotButton="0" quotePrefix="0" xfId="0">
      <alignment horizontal="left" vertical="center" wrapText="1"/>
    </xf>
    <xf numFmtId="0" fontId="4" fillId="4" borderId="0" applyAlignment="1" pivotButton="0" quotePrefix="0" xfId="0">
      <alignment horizontal="center" vertical="center" wrapText="1"/>
    </xf>
    <xf numFmtId="164" fontId="2" fillId="0" borderId="0" applyAlignment="1" pivotButton="0" quotePrefix="0" xfId="0">
      <alignment wrapText="1"/>
    </xf>
    <xf numFmtId="0" fontId="4" fillId="4" borderId="0" applyAlignment="1" pivotButton="0" quotePrefix="0" xfId="0">
      <alignment horizontal="center" vertical="center" wrapText="1"/>
    </xf>
    <xf numFmtId="0" fontId="3" fillId="3" borderId="0" applyAlignment="1" pivotButton="0" quotePrefix="0" xfId="0">
      <alignment horizontal="left" vertical="center"/>
    </xf>
    <xf numFmtId="0" fontId="2" fillId="0" borderId="0" applyAlignment="1" pivotButton="0" quotePrefix="0" xfId="0">
      <alignment wrapText="1"/>
    </xf>
    <xf numFmtId="0" fontId="2" fillId="0" borderId="0" applyAlignment="1" pivotButton="0" quotePrefix="0" xfId="0">
      <alignment wrapText="1"/>
    </xf>
    <xf numFmtId="164" fontId="2" fillId="0" borderId="0" applyAlignment="1" pivotButton="0" quotePrefix="0" xfId="0">
      <alignment wrapText="1"/>
    </xf>
    <xf numFmtId="0" fontId="4" fillId="4" borderId="0" applyAlignment="1" pivotButton="0" quotePrefix="0" xfId="0">
      <alignment horizontal="center" vertical="center"/>
    </xf>
    <xf numFmtId="0" fontId="5" fillId="0" borderId="0" pivotButton="0" quotePrefix="0" xfId="0"/>
    <xf numFmtId="0" fontId="4" fillId="4" borderId="0" applyAlignment="1" pivotButton="0" quotePrefix="0" xfId="0">
      <alignment horizontal="center" vertical="center"/>
    </xf>
    <xf numFmtId="0" fontId="5" fillId="0" borderId="0" pivotButton="0" quotePrefix="0" xfId="0"/>
    <xf numFmtId="0" fontId="0" fillId="0" borderId="0" pivotButton="0" quotePrefix="0" xfId="0"/>
  </cellXfs>
  <cellStyles count="1">
    <cellStyle name="Normal" xfId="0" builtinId="0"/>
  </cellStyles>
  <dxfs count="11">
    <dxf>
      <font/>
      <fill>
        <patternFill/>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font>
        <color rgb="FF274E13"/>
      </font>
      <fill>
        <patternFill patternType="solid">
          <fgColor rgb="FFD9EAD3"/>
          <bgColor rgb="FFD9EAD3"/>
        </patternFill>
      </fill>
      <border/>
    </dxf>
    <dxf>
      <font>
        <color rgb="FF7F6000"/>
      </font>
      <fill>
        <patternFill patternType="solid">
          <fgColor rgb="FFFFF2CC"/>
          <bgColor rgb="FFFFF2CC"/>
        </patternFill>
      </fill>
      <border/>
    </dxf>
    <dxf>
      <font>
        <color rgb="FF990000"/>
      </font>
      <fill>
        <patternFill patternType="solid">
          <fgColor rgb="FFF4CCCC"/>
          <bgColor rgb="FFF4CCCC"/>
        </patternFill>
      </fill>
      <border/>
    </dxf>
    <dxf>
      <font>
        <b val="1"/>
        <color rgb="FFB3261E"/>
      </font>
      <fill>
        <patternFill patternType="solid">
          <fgColor rgb="FFFCE8E6"/>
          <bgColor rgb="FFFCE8E6"/>
        </patternFill>
      </fill>
      <border/>
    </dxf>
    <dxf>
      <font/>
      <fill>
        <patternFill patternType="solid">
          <fgColor rgb="FFD9EAD3"/>
          <bgColor rgb="FFD9EAD3"/>
        </patternFill>
      </fill>
      <border/>
    </dxf>
    <dxf>
      <font>
        <b val="1"/>
      </font>
      <fill>
        <patternFill patternType="solid">
          <fgColor rgb="FFF4CCCC"/>
          <bgColor rgb="FFF4CCCC"/>
        </patternFill>
      </fill>
      <border/>
    </dxf>
    <dxf>
      <font/>
      <fill>
        <patternFill patternType="solid">
          <fgColor rgb="FFFCE5CD"/>
          <bgColor rgb="FFFCE5CD"/>
        </patternFill>
      </fill>
      <border/>
    </dxf>
  </dxfs>
  <tableStyles count="6" defaultTableStyle="TableStyleMedium9" defaultPivotStyle="PivotStyleLight16">
    <tableStyle name="Sprint Board-style" pivot="0" count="3">
      <tableStyleElement type="headerRow" dxfId="1"/>
      <tableStyleElement type="firstRowStripe" dxfId="2"/>
      <tableStyleElement type="secondRowStripe" dxfId="3"/>
    </tableStyle>
    <tableStyle name="Sprint Plan-style" pivot="0" count="3">
      <tableStyleElement type="headerRow" dxfId="1"/>
      <tableStyleElement type="firstRowStripe" dxfId="2"/>
      <tableStyleElement type="secondRowStripe" dxfId="3"/>
    </tableStyle>
    <tableStyle name="Accounts &amp; Data-style" pivot="0" count="3">
      <tableStyleElement type="headerRow" dxfId="1"/>
      <tableStyleElement type="firstRowStripe" dxfId="2"/>
      <tableStyleElement type="secondRowStripe" dxfId="3"/>
    </tableStyle>
    <tableStyle name="DB Corrections-style" pivot="0" count="3">
      <tableStyleElement type="headerRow" dxfId="1"/>
      <tableStyleElement type="firstRowStripe" dxfId="2"/>
      <tableStyleElement type="secondRowStripe" dxfId="3"/>
    </tableStyle>
    <tableStyle name="UI Screens-style" pivot="0" count="3">
      <tableStyleElement type="headerRow" dxfId="1"/>
      <tableStyleElement type="firstRowStripe" dxfId="2"/>
      <tableStyleElement type="secondRowStripe" dxfId="3"/>
    </tableStyle>
    <tableStyle name="Risks-style" pivot="0" count="3">
      <tableStyleElement type="headerRow" dxfId="1"/>
      <tableStyleElement type="firstRowStripe" dxfId="2"/>
      <tableStyleElement type="secondRow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harts/chart1.xml><?xml version="1.0" encoding="utf-8"?>
<chartSpace xmlns:a="http://schemas.openxmlformats.org/drawingml/2006/main" xmlns="http://schemas.openxmlformats.org/drawingml/2006/chart">
  <chart>
    <title>
      <tx>
        <rich>
          <a:bodyPr/>
          <a:lstStyle/>
          <a:p>
            <a:pPr lvl="0">
              <a:defRPr b="0">
                <a:solidFill>
                  <a:srgbClr val="757575"/>
                </a:solidFill>
                <a:latin typeface="+mn-lt"/>
              </a:defRPr>
            </a:pPr>
            <a:r>
              <a:rPr b="0">
                <a:solidFill>
                  <a:srgbClr val="757575"/>
                </a:solidFill>
                <a:latin typeface="+mn-lt"/>
              </a:rPr>
              <a:t>Horas planificadas por integrante</a:t>
            </a:r>
          </a:p>
        </rich>
      </tx>
      <overlay val="0"/>
    </title>
    <plotArea>
      <layout/>
      <barChart>
        <barDir val="col"/>
        <grouping val="clustered"/>
        <ser>
          <idx val="0"/>
          <order val="0"/>
          <tx>
            <v>D</v>
          </tx>
          <spPr>
            <a:solidFill>
              <a:schemeClr val="accent1"/>
            </a:solidFill>
            <a:ln cmpd="sng">
              <a:noFill/>
              <a:prstDash val="solid"/>
            </a:ln>
          </spPr>
          <cat>
            <strRef>
              <f>Dashboard!$D$6</f>
            </strRef>
          </cat>
          <val>
            <numRef>
              <f>Dashboard!$E$6</f>
              <numCache/>
            </numRef>
          </val>
        </ser>
        <ser>
          <idx val="1"/>
          <order val="1"/>
          <tx>
            <v>M</v>
          </tx>
          <spPr>
            <a:solidFill>
              <a:schemeClr val="accent2"/>
            </a:solidFill>
            <a:ln cmpd="sng">
              <a:noFill/>
              <a:prstDash val="solid"/>
            </a:ln>
          </spPr>
          <cat>
            <strRef>
              <f>Dashboard!$D$6</f>
            </strRef>
          </cat>
          <val>
            <numRef>
              <f>Dashboard!$F$6</f>
              <numCache/>
            </numRef>
          </val>
        </ser>
        <ser>
          <idx val="2"/>
          <order val="2"/>
          <tx>
            <v>P</v>
          </tx>
          <spPr>
            <a:solidFill>
              <a:schemeClr val="accent3"/>
            </a:solidFill>
            <a:ln cmpd="sng">
              <a:noFill/>
              <a:prstDash val="solid"/>
            </a:ln>
          </spPr>
          <cat>
            <strRef>
              <f>Dashboard!$D$6</f>
            </strRef>
          </cat>
          <val>
            <numRef>
              <f>Dashboard!$G$6</f>
              <numCache/>
            </numRef>
          </val>
        </ser>
        <ser>
          <idx val="3"/>
          <order val="3"/>
          <tx>
            <v>R</v>
          </tx>
          <spPr>
            <a:solidFill>
              <a:schemeClr val="accent4"/>
            </a:solidFill>
            <a:ln cmpd="sng">
              <a:noFill/>
              <a:prstDash val="solid"/>
            </a:ln>
          </spPr>
          <cat>
            <strRef>
              <f>Dashboard!$D$6</f>
            </strRef>
          </cat>
          <val>
            <numRef>
              <f>Dashboard!$H$6</f>
              <numCache/>
            </numRef>
          </val>
        </ser>
        <gapWidth val="150"/>
        <axId val="1739528182"/>
        <axId val="1606717550"/>
      </barChart>
      <catAx>
        <axId val="1739528182"/>
        <scaling>
          <orientation val="minMax"/>
        </scaling>
        <delete val="0"/>
        <axPos val="b"/>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0"/>
        <majorTickMark val="none"/>
        <minorTickMark val="none"/>
        <spPr>
          <a:ln>
            <a:noFill/>
            <a:prstDash val="solid"/>
          </a:ln>
        </spPr>
        <txPr>
          <a:bodyPr/>
          <a:lstStyle/>
          <a:p>
            <a:pPr lvl="0">
              <a:defRPr b="0">
                <a:solidFill>
                  <a:srgbClr val="000000"/>
                </a:solidFill>
                <a:latin typeface="+mn-lt"/>
              </a:defRPr>
            </a:pPr>
            <a:r>
              <a:t>None</a:t>
            </a:r>
          </a:p>
        </txPr>
        <crossAx val="1606717550"/>
        <lblOffset val="100"/>
      </catAx>
      <valAx>
        <axId val="1606717550"/>
        <scaling>
          <orientation val="minMax"/>
        </scaling>
        <delete val="0"/>
        <axPos val="l"/>
        <majorGridlines>
          <spPr>
            <a:ln>
              <a:solidFill>
                <a:srgbClr val="B7B7B7"/>
              </a:solidFill>
              <a:prstDash val="solid"/>
            </a:ln>
          </spPr>
        </majorGridlines>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0"/>
        <majorTickMark val="none"/>
        <minorTickMark val="none"/>
        <tickLblPos val="nextTo"/>
        <spPr>
          <a:ln>
            <a:noFill/>
            <a:prstDash val="solid"/>
          </a:ln>
        </spPr>
        <txPr>
          <a:bodyPr/>
          <a:lstStyle/>
          <a:p>
            <a:pPr lvl="0">
              <a:defRPr b="0">
                <a:solidFill>
                  <a:srgbClr val="000000"/>
                </a:solidFill>
                <a:latin typeface="+mn-lt"/>
              </a:defRPr>
            </a:pPr>
            <a:r>
              <a:t>None</a:t>
            </a:r>
          </a:p>
        </txPr>
        <crossAx val="1739528182"/>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9</col>
      <colOff>0</colOff>
      <row>2</row>
      <rowOff>0</rowOff>
    </from>
    <ext cx="5257800" cy="2800350"/>
    <graphicFrame>
      <nvGraphicFramePr>
        <cNvPr id="1" name="Chart 1"/>
        <cNvGraphicFramePr/>
      </nvGraphicFramePr>
      <xfrm/>
      <a:graphic>
        <a:graphicData uri="http://schemas.openxmlformats.org/drawingml/2006/chart">
          <c:chart r:id="rId1"/>
        </a:graphicData>
      </a:graphic>
    </graphicFrame>
    <clientData fLocksWithSheet="0"/>
  </oneCellAnchor>
</wsDr>
</file>

<file path=xl/tables/table1.xml><?xml version="1.0" encoding="utf-8"?>
<table xmlns="http://schemas.openxmlformats.org/spreadsheetml/2006/main" id="1" name="Table_1" displayName="Table_1" ref="A1:L67" headerRowCount="1">
  <tableColumns count="12">
    <tableColumn id="1" name="ID"/>
    <tableColumn id="2" name="Sprint"/>
    <tableColumn id="3" name="Épica"/>
    <tableColumn id="4" name="Tarea exacta"/>
    <tableColumn id="5" name="Responsable"/>
    <tableColumn id="6" name="Apoyo"/>
    <tableColumn id="7" name="Prioridad"/>
    <tableColumn id="8" name="Estado"/>
    <tableColumn id="9" name="Horas"/>
    <tableColumn id="10" name="Dependencias"/>
    <tableColumn id="11" name="Criterio de aceptación"/>
    <tableColumn id="12" name="Entregable"/>
  </tableColumns>
  <tableStyleInfo name="Sprint Board-style" showFirstColumn="1" showLastColumn="1" showRowStripes="1" showColumnStripes="0"/>
</table>
</file>

<file path=xl/tables/table2.xml><?xml version="1.0" encoding="utf-8"?>
<table xmlns="http://schemas.openxmlformats.org/spreadsheetml/2006/main" id="2" name="Table_2" displayName="Table_2" ref="A1:E6" headerRowCount="1">
  <tableColumns count="5">
    <tableColumn id="1" name="Sprint"/>
    <tableColumn id="2" name="Ventana"/>
    <tableColumn id="3" name="Objetivo"/>
    <tableColumn id="4" name="Resultado esperado"/>
    <tableColumn id="5" name="Criterio de salida"/>
  </tableColumns>
  <tableStyleInfo name="Sprint Plan-style" showFirstColumn="1" showLastColumn="1" showRowStripes="1" showColumnStripes="0"/>
</table>
</file>

<file path=xl/tables/table3.xml><?xml version="1.0" encoding="utf-8"?>
<table xmlns="http://schemas.openxmlformats.org/spreadsheetml/2006/main" id="3" name="Table_3" displayName="Table_3" ref="A1:G25" headerRowCount="1">
  <tableColumns count="7">
    <tableColumn id="1" name="Tipo"/>
    <tableColumn id="2" name="Elemento"/>
    <tableColumn id="3" name="Responsable"/>
    <tableColumn id="4" name="Sprint"/>
    <tableColumn id="5" name="Prioridad"/>
    <tableColumn id="6" name="Estado"/>
    <tableColumn id="7" name="Criterio/Notas"/>
  </tableColumns>
  <tableStyleInfo name="Accounts &amp; Data-style" showFirstColumn="1" showLastColumn="1" showRowStripes="1" showColumnStripes="0"/>
</table>
</file>

<file path=xl/tables/table4.xml><?xml version="1.0" encoding="utf-8"?>
<table xmlns="http://schemas.openxmlformats.org/spreadsheetml/2006/main" id="4" name="Table_4" displayName="Table_4" ref="A1:F21" headerRowCount="1">
  <tableColumns count="6">
    <tableColumn id="1" name="ID"/>
    <tableColumn id="2" name="Corrección exacta"/>
    <tableColumn id="3" name="Responsable"/>
    <tableColumn id="4" name="Prioridad"/>
    <tableColumn id="5" name="Estado"/>
    <tableColumn id="6" name="Criterio de aceptación"/>
  </tableColumns>
  <tableStyleInfo name="DB Corrections-style" showFirstColumn="1" showLastColumn="1" showRowStripes="1" showColumnStripes="0"/>
</table>
</file>

<file path=xl/tables/table5.xml><?xml version="1.0" encoding="utf-8"?>
<table xmlns="http://schemas.openxmlformats.org/spreadsheetml/2006/main" id="5" name="Table_5" displayName="Table_5" ref="A1:E47" headerRowCount="1">
  <tableColumns count="5">
    <tableColumn id="1" name="ID"/>
    <tableColumn id="2" name="Pantalla/Grupo"/>
    <tableColumn id="3" name="Responsable"/>
    <tableColumn id="4" name="Sprint"/>
    <tableColumn id="5" name="Prioridad"/>
  </tableColumns>
  <tableStyleInfo name="UI Screens-style" showFirstColumn="1" showLastColumn="1" showRowStripes="1" showColumnStripes="0"/>
</table>
</file>

<file path=xl/tables/table6.xml><?xml version="1.0" encoding="utf-8"?>
<table xmlns="http://schemas.openxmlformats.org/spreadsheetml/2006/main" id="6" name="Table_6" displayName="Table_6" ref="A1:F15" headerRowCount="1">
  <tableColumns count="6">
    <tableColumn id="1" name="ID"/>
    <tableColumn id="2" name="Riesgo"/>
    <tableColumn id="3" name="Impacto"/>
    <tableColumn id="4" name="Probabilidad"/>
    <tableColumn id="5" name="Responsable"/>
    <tableColumn id="6" name="Mitigación"/>
  </tableColumns>
  <tableStyleInfo name="Risks-style" showFirstColumn="1" showLastColumn="1" showRowStripes="1" showColumnStripes="0"/>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6.xml.rels><Relationships xmlns="http://schemas.openxmlformats.org/package/2006/relationships"><Relationship Type="http://schemas.openxmlformats.org/officeDocument/2006/relationships/table" Target="/xl/tables/table5.xml" Id="rId1" /></Relationships>
</file>

<file path=xl/worksheets/_rels/sheet7.xml.rels><Relationships xmlns="http://schemas.openxmlformats.org/package/2006/relationships"><Relationship Type="http://schemas.openxmlformats.org/officeDocument/2006/relationships/table" Target="/xl/tables/table6.xml" Id="rId1" /></Relationships>
</file>

<file path=xl/worksheets/sheet1.xml><?xml version="1.0" encoding="utf-8"?>
<worksheet xmlns="http://schemas.openxmlformats.org/spreadsheetml/2006/main">
  <sheetPr>
    <outlinePr summaryBelow="1" summaryRight="1"/>
    <pageSetUpPr/>
  </sheetPr>
  <dimension ref="A1:Q25"/>
  <sheetViews>
    <sheetView workbookViewId="0">
      <selection activeCell="A1" sqref="A1"/>
    </sheetView>
  </sheetViews>
  <sheetFormatPr baseColWidth="8" defaultColWidth="12.63" defaultRowHeight="15" customHeight="1"/>
  <cols>
    <col width="16" customWidth="1" style="15" min="1" max="1"/>
    <col width="22" customWidth="1" style="15" min="2" max="2"/>
    <col width="46.13" customWidth="1" style="15" min="3" max="3"/>
    <col width="18" customWidth="1" style="15" min="4" max="8"/>
    <col width="8.630000000000001" customWidth="1" style="15" min="9" max="26"/>
  </cols>
  <sheetData>
    <row r="1">
      <c r="A1" s="1" t="inlineStr">
        <is>
          <t>TABLERO DE HACKATHON — EQUIPO D · M · P · R</t>
        </is>
      </c>
      <c r="I1" s="9" t="n"/>
      <c r="J1" s="9" t="n"/>
      <c r="K1" s="9" t="n"/>
      <c r="L1" s="9" t="n"/>
      <c r="M1" s="9" t="n"/>
      <c r="N1" s="9" t="n"/>
      <c r="O1" s="9" t="n"/>
      <c r="P1" s="9" t="n"/>
      <c r="Q1" s="9" t="n"/>
    </row>
    <row r="2">
      <c r="I2" s="9" t="n"/>
      <c r="J2" s="9" t="n"/>
      <c r="K2" s="9" t="n"/>
      <c r="L2" s="9" t="n"/>
      <c r="M2" s="9" t="n"/>
      <c r="N2" s="9" t="n"/>
      <c r="O2" s="9" t="n"/>
      <c r="P2" s="9" t="n"/>
      <c r="Q2" s="9" t="n"/>
    </row>
    <row r="3">
      <c r="A3" s="9" t="n"/>
      <c r="B3" s="9" t="n"/>
      <c r="C3" s="9" t="n"/>
      <c r="D3" s="9" t="n"/>
      <c r="E3" s="9" t="n"/>
      <c r="F3" s="9" t="n"/>
      <c r="G3" s="9" t="n"/>
      <c r="H3" s="9" t="n"/>
      <c r="I3" s="9" t="n"/>
      <c r="J3" s="9" t="n"/>
      <c r="K3" s="9" t="n"/>
      <c r="L3" s="9" t="n"/>
      <c r="M3" s="9" t="n"/>
      <c r="N3" s="9" t="n"/>
      <c r="O3" s="9" t="n"/>
      <c r="P3" s="9" t="n"/>
      <c r="Q3" s="9" t="n"/>
    </row>
    <row r="4">
      <c r="A4" s="3" t="inlineStr">
        <is>
          <t>Estado general</t>
        </is>
      </c>
      <c r="C4" s="9" t="n"/>
      <c r="D4" s="3" t="inlineStr">
        <is>
          <t>Carga estimada por integrante</t>
        </is>
      </c>
      <c r="I4" s="9" t="n"/>
      <c r="J4" s="9" t="n"/>
      <c r="K4" s="9" t="n"/>
      <c r="L4" s="9" t="n"/>
      <c r="M4" s="9" t="n"/>
      <c r="N4" s="9" t="n"/>
      <c r="O4" s="9" t="n"/>
      <c r="P4" s="9" t="n"/>
      <c r="Q4" s="9" t="n"/>
    </row>
    <row r="5">
      <c r="A5" s="6" t="inlineStr">
        <is>
          <t>Métrica</t>
        </is>
      </c>
      <c r="B5" s="6" t="inlineStr">
        <is>
          <t>Valor</t>
        </is>
      </c>
      <c r="C5" s="9" t="n"/>
      <c r="D5" s="6" t="inlineStr">
        <is>
          <t>Integrante</t>
        </is>
      </c>
      <c r="E5" s="6" t="inlineStr">
        <is>
          <t>D</t>
        </is>
      </c>
      <c r="F5" s="6" t="inlineStr">
        <is>
          <t>M</t>
        </is>
      </c>
      <c r="G5" s="6" t="inlineStr">
        <is>
          <t>P</t>
        </is>
      </c>
      <c r="H5" s="6" t="inlineStr">
        <is>
          <t>R</t>
        </is>
      </c>
      <c r="I5" s="9" t="n"/>
      <c r="J5" s="9" t="n"/>
      <c r="K5" s="9" t="n"/>
      <c r="L5" s="9" t="n"/>
      <c r="M5" s="9" t="n"/>
      <c r="N5" s="9" t="n"/>
      <c r="O5" s="9" t="n"/>
      <c r="P5" s="9" t="n"/>
      <c r="Q5" s="9" t="n"/>
    </row>
    <row r="6">
      <c r="A6" s="9" t="inlineStr">
        <is>
          <t>Tareas totales</t>
        </is>
      </c>
      <c r="B6" s="9">
        <f>COUNTA('Sprint Board'!A2:A67)</f>
        <v/>
      </c>
      <c r="C6" s="9" t="n"/>
      <c r="D6" s="9" t="inlineStr">
        <is>
          <t>Horas</t>
        </is>
      </c>
      <c r="E6" s="9">
        <f>SUMIF('Sprint Board'!E2:E67,"D",'Sprint Board'!I2:I67)</f>
        <v/>
      </c>
      <c r="F6" s="9">
        <f>SUMIF('Sprint Board'!E2:E67,"M",'Sprint Board'!I2:I67)</f>
        <v/>
      </c>
      <c r="G6" s="9">
        <f>SUMIF('Sprint Board'!E2:E67,"P",'Sprint Board'!I2:I67)</f>
        <v/>
      </c>
      <c r="H6" s="9">
        <f>SUMIF('Sprint Board'!E2:E67,"R",'Sprint Board'!I2:I67)</f>
        <v/>
      </c>
      <c r="I6" s="9" t="n"/>
      <c r="J6" s="9" t="n"/>
      <c r="K6" s="9" t="n"/>
      <c r="L6" s="9" t="n"/>
      <c r="M6" s="9" t="n"/>
      <c r="N6" s="9" t="n"/>
      <c r="O6" s="9" t="n"/>
      <c r="P6" s="9" t="n"/>
      <c r="Q6" s="9" t="n"/>
    </row>
    <row r="7">
      <c r="A7" s="9" t="inlineStr">
        <is>
          <t>Completadas</t>
        </is>
      </c>
      <c r="B7" s="9">
        <f>COUNTIF('Sprint Board'!H2:H67,"Completada")</f>
        <v/>
      </c>
      <c r="C7" s="9" t="n"/>
      <c r="D7" s="9" t="inlineStr">
        <is>
          <t>Tareas</t>
        </is>
      </c>
      <c r="E7" s="9">
        <f>COUNTIF('Sprint Board'!E2:E67,"D")</f>
        <v/>
      </c>
      <c r="F7" s="9">
        <f>COUNTIF('Sprint Board'!E2:E67,"M")</f>
        <v/>
      </c>
      <c r="G7" s="9">
        <f>COUNTIF('Sprint Board'!E2:E67,"P")</f>
        <v/>
      </c>
      <c r="H7" s="9">
        <f>COUNTIF('Sprint Board'!E2:E67,"R")</f>
        <v/>
      </c>
      <c r="I7" s="9" t="n"/>
      <c r="J7" s="9" t="n"/>
      <c r="K7" s="9" t="n"/>
      <c r="L7" s="9" t="n"/>
      <c r="M7" s="9" t="n"/>
      <c r="N7" s="9" t="n"/>
      <c r="O7" s="9" t="n"/>
      <c r="P7" s="9" t="n"/>
      <c r="Q7" s="9" t="n"/>
    </row>
    <row r="8">
      <c r="A8" s="9" t="inlineStr">
        <is>
          <t>En progreso</t>
        </is>
      </c>
      <c r="B8" s="9">
        <f>COUNTIF('Sprint Board'!H2:H67,"En progreso")</f>
        <v/>
      </c>
      <c r="C8" s="9" t="n"/>
      <c r="D8" s="9" t="inlineStr">
        <is>
          <t>Críticas</t>
        </is>
      </c>
      <c r="E8" s="9">
        <f>COUNTIFS('Sprint Board'!E2:E67,"D",'Sprint Board'!G2:G67,"Crítica")</f>
        <v/>
      </c>
      <c r="F8" s="9">
        <f>COUNTIFS('Sprint Board'!E2:E67,"M",'Sprint Board'!G2:G67,"Crítica")</f>
        <v/>
      </c>
      <c r="G8" s="9">
        <f>COUNTIFS('Sprint Board'!E2:E67,"P",'Sprint Board'!G2:G67,"Crítica")</f>
        <v/>
      </c>
      <c r="H8" s="9">
        <f>COUNTIFS('Sprint Board'!E2:E67,"R",'Sprint Board'!G2:G67,"Crítica")</f>
        <v/>
      </c>
      <c r="I8" s="9" t="n"/>
      <c r="J8" s="9" t="n"/>
      <c r="K8" s="9" t="n"/>
      <c r="L8" s="9" t="n"/>
      <c r="M8" s="9" t="n"/>
      <c r="N8" s="9" t="n"/>
      <c r="O8" s="9" t="n"/>
      <c r="P8" s="9" t="n"/>
      <c r="Q8" s="9" t="n"/>
    </row>
    <row r="9">
      <c r="A9" s="9" t="inlineStr">
        <is>
          <t>Bloqueadas</t>
        </is>
      </c>
      <c r="B9" s="9">
        <f>COUNTIF('Sprint Board'!H2:H67,"Bloqueada")</f>
        <v/>
      </c>
      <c r="C9" s="9" t="n"/>
      <c r="D9" s="9" t="inlineStr">
        <is>
          <t>Completadas</t>
        </is>
      </c>
      <c r="E9" s="9">
        <f>COUNTIFS('Sprint Board'!E2:E67,"D",'Sprint Board'!H2:H67,"Completada")</f>
        <v/>
      </c>
      <c r="F9" s="9">
        <f>COUNTIFS('Sprint Board'!E2:E67,"M",'Sprint Board'!H2:H67,"Completada")</f>
        <v/>
      </c>
      <c r="G9" s="9">
        <f>COUNTIFS('Sprint Board'!E2:E67,"P",'Sprint Board'!H2:H67,"Completada")</f>
        <v/>
      </c>
      <c r="H9" s="9">
        <f>COUNTIFS('Sprint Board'!E2:E67,"R",'Sprint Board'!H2:H67,"Completada")</f>
        <v/>
      </c>
      <c r="I9" s="9" t="n"/>
      <c r="J9" s="9" t="n"/>
      <c r="K9" s="9" t="n"/>
      <c r="L9" s="9" t="n"/>
      <c r="M9" s="9" t="n"/>
      <c r="N9" s="9" t="n"/>
      <c r="O9" s="9" t="n"/>
      <c r="P9" s="9" t="n"/>
      <c r="Q9" s="9" t="n"/>
    </row>
    <row r="10">
      <c r="A10" s="9" t="inlineStr">
        <is>
          <t>Horas planificadas</t>
        </is>
      </c>
      <c r="B10" s="10">
        <f>SUM('Sprint Board'!I2:I67)</f>
        <v/>
      </c>
      <c r="C10" s="9" t="n"/>
      <c r="D10" s="9" t="n"/>
      <c r="E10" s="9" t="n"/>
      <c r="F10" s="9" t="n"/>
      <c r="G10" s="9" t="n"/>
      <c r="H10" s="9" t="n"/>
      <c r="I10" s="9" t="n"/>
      <c r="J10" s="9" t="n"/>
      <c r="K10" s="9" t="n"/>
      <c r="L10" s="9" t="n"/>
      <c r="M10" s="9" t="n"/>
      <c r="N10" s="9" t="n"/>
      <c r="O10" s="9" t="n"/>
      <c r="P10" s="9" t="n"/>
      <c r="Q10" s="9" t="n"/>
    </row>
    <row r="11">
      <c r="A11" s="9" t="n"/>
      <c r="B11" s="9" t="n"/>
      <c r="C11" s="9" t="n"/>
      <c r="D11" s="9" t="n"/>
      <c r="E11" s="9" t="n"/>
      <c r="F11" s="9" t="n"/>
      <c r="G11" s="9" t="n"/>
      <c r="H11" s="9" t="n"/>
      <c r="I11" s="9" t="n"/>
      <c r="J11" s="9" t="n"/>
      <c r="K11" s="9" t="n"/>
      <c r="L11" s="9" t="n"/>
      <c r="M11" s="9" t="n"/>
      <c r="N11" s="9" t="n"/>
      <c r="O11" s="9" t="n"/>
      <c r="P11" s="9" t="n"/>
      <c r="Q11" s="9" t="n"/>
    </row>
    <row r="12">
      <c r="A12" s="3" t="inlineStr">
        <is>
          <t>Responsabilidades principales</t>
        </is>
      </c>
      <c r="I12" s="9" t="n"/>
      <c r="J12" s="9" t="n"/>
      <c r="K12" s="9" t="n"/>
      <c r="L12" s="9" t="n"/>
      <c r="M12" s="9" t="n"/>
      <c r="N12" s="9" t="n"/>
      <c r="O12" s="9" t="n"/>
      <c r="P12" s="9" t="n"/>
      <c r="Q12" s="9" t="n"/>
    </row>
    <row r="13">
      <c r="A13" s="6" t="inlineStr">
        <is>
          <t>Integrante</t>
        </is>
      </c>
      <c r="B13" s="6" t="inlineStr">
        <is>
          <t>Rol principal</t>
        </is>
      </c>
      <c r="C13" s="6" t="inlineStr">
        <is>
          <t>Responsabilidad crítica</t>
        </is>
      </c>
      <c r="D13" s="6" t="inlineStr">
        <is>
          <t>Apoya a</t>
        </is>
      </c>
      <c r="E13" s="6" t="inlineStr">
        <is>
          <t>No debe bloquearse por</t>
        </is>
      </c>
      <c r="F13" s="9" t="n"/>
      <c r="G13" s="9" t="n"/>
      <c r="H13" s="9" t="n"/>
      <c r="I13" s="9" t="n"/>
      <c r="J13" s="9" t="n"/>
      <c r="K13" s="9" t="n"/>
      <c r="L13" s="9" t="n"/>
      <c r="M13" s="9" t="n"/>
      <c r="N13" s="9" t="n"/>
      <c r="O13" s="9" t="n"/>
      <c r="P13" s="9" t="n"/>
      <c r="Q13" s="9" t="n"/>
    </row>
    <row r="14">
      <c r="A14" s="9" t="inlineStr">
        <is>
          <t>R</t>
        </is>
      </c>
      <c r="B14" s="9" t="inlineStr">
        <is>
          <t>Tech Lead / DB / Seguridad</t>
        </is>
      </c>
      <c r="C14" s="9" t="inlineStr">
        <is>
          <t>Migraciones, RLS, RPC, integración y deploy</t>
        </is>
      </c>
      <c r="D14" s="9" t="inlineStr">
        <is>
          <t>Todos</t>
        </is>
      </c>
      <c r="E14" s="9" t="inlineStr">
        <is>
          <t>Diseño visual</t>
        </is>
      </c>
      <c r="F14" s="9" t="n"/>
      <c r="G14" s="9" t="n"/>
      <c r="H14" s="9" t="n"/>
      <c r="I14" s="9" t="n"/>
      <c r="J14" s="9" t="n"/>
      <c r="K14" s="9" t="n"/>
      <c r="L14" s="9" t="n"/>
      <c r="M14" s="9" t="n"/>
      <c r="N14" s="9" t="n"/>
      <c r="O14" s="9" t="n"/>
      <c r="P14" s="9" t="n"/>
      <c r="Q14" s="9" t="n"/>
    </row>
    <row r="15">
      <c r="A15" s="9" t="inlineStr">
        <is>
          <t>D</t>
        </is>
      </c>
      <c r="B15" s="9" t="inlineStr">
        <is>
          <t>UX/UI / Frontend</t>
        </is>
      </c>
      <c r="C15" s="9" t="inlineStr">
        <is>
          <t>Design system, componentes y todas las pantallas críticas</t>
        </is>
      </c>
      <c r="D15" s="9" t="inlineStr">
        <is>
          <t>M y P</t>
        </is>
      </c>
      <c r="E15" s="9" t="inlineStr">
        <is>
          <t>Lógica interna del backend</t>
        </is>
      </c>
      <c r="F15" s="9" t="n"/>
      <c r="G15" s="9" t="n"/>
      <c r="H15" s="9" t="n"/>
      <c r="I15" s="9" t="n"/>
      <c r="J15" s="9" t="n"/>
      <c r="K15" s="9" t="n"/>
      <c r="L15" s="9" t="n"/>
      <c r="M15" s="9" t="n"/>
      <c r="N15" s="9" t="n"/>
      <c r="O15" s="9" t="n"/>
      <c r="P15" s="9" t="n"/>
      <c r="Q15" s="9" t="n"/>
    </row>
    <row r="16">
      <c r="A16" s="9" t="inlineStr">
        <is>
          <t>M</t>
        </is>
      </c>
      <c r="B16" s="9" t="inlineStr">
        <is>
          <t>Marketplace / Negociación</t>
        </is>
      </c>
      <c r="C16" s="9" t="inlineStr">
        <is>
          <t>Publicaciones, chat, propuestas, órdenes y datos demo</t>
        </is>
      </c>
      <c r="D16" s="9" t="inlineStr">
        <is>
          <t>D y R</t>
        </is>
      </c>
      <c r="E16" s="9" t="inlineStr">
        <is>
          <t>Mapas e IA</t>
        </is>
      </c>
      <c r="F16" s="9" t="n"/>
      <c r="G16" s="9" t="n"/>
      <c r="H16" s="9" t="n"/>
      <c r="I16" s="9" t="n"/>
      <c r="J16" s="9" t="n"/>
      <c r="K16" s="9" t="n"/>
      <c r="L16" s="9" t="n"/>
      <c r="M16" s="9" t="n"/>
      <c r="N16" s="9" t="n"/>
      <c r="O16" s="9" t="n"/>
      <c r="P16" s="9" t="n"/>
      <c r="Q16" s="9" t="n"/>
    </row>
    <row r="17">
      <c r="A17" s="9" t="inlineStr">
        <is>
          <t>P</t>
        </is>
      </c>
      <c r="B17" s="9" t="inlineStr">
        <is>
          <t>Logística / IA / Riesgo</t>
        </is>
      </c>
      <c r="C17" s="9" t="inlineStr">
        <is>
          <t>Vehículos, fletes, mapas, riesgo, precios y OpenAI</t>
        </is>
      </c>
      <c r="D17" s="9" t="inlineStr">
        <is>
          <t>D y R</t>
        </is>
      </c>
      <c r="E17" s="9" t="inlineStr">
        <is>
          <t>Autenticación y RLS general</t>
        </is>
      </c>
      <c r="F17" s="9" t="n"/>
      <c r="G17" s="9" t="n"/>
      <c r="H17" s="9" t="n"/>
      <c r="I17" s="9" t="n"/>
      <c r="J17" s="9" t="n"/>
      <c r="K17" s="9" t="n"/>
      <c r="L17" s="9" t="n"/>
      <c r="M17" s="9" t="n"/>
      <c r="N17" s="9" t="n"/>
      <c r="O17" s="9" t="n"/>
      <c r="P17" s="9" t="n"/>
      <c r="Q17" s="9" t="n"/>
    </row>
    <row r="18">
      <c r="A18" s="9" t="n"/>
      <c r="B18" s="9" t="n"/>
      <c r="C18" s="9" t="n"/>
      <c r="D18" s="9" t="n"/>
      <c r="E18" s="9" t="n"/>
      <c r="F18" s="9" t="n"/>
      <c r="G18" s="9" t="n"/>
      <c r="H18" s="9" t="n"/>
      <c r="I18" s="9" t="n"/>
      <c r="J18" s="9" t="n"/>
      <c r="K18" s="9" t="n"/>
      <c r="L18" s="9" t="n"/>
      <c r="M18" s="9" t="n"/>
      <c r="N18" s="9" t="n"/>
      <c r="O18" s="9" t="n"/>
      <c r="P18" s="9" t="n"/>
      <c r="Q18" s="9" t="n"/>
    </row>
    <row r="19">
      <c r="A19" s="3" t="inlineStr">
        <is>
          <t>Reglas de coordinación</t>
        </is>
      </c>
      <c r="I19" s="9" t="n"/>
      <c r="J19" s="9" t="n"/>
      <c r="K19" s="9" t="n"/>
      <c r="L19" s="9" t="n"/>
      <c r="M19" s="9" t="n"/>
      <c r="N19" s="9" t="n"/>
      <c r="O19" s="9" t="n"/>
      <c r="P19" s="9" t="n"/>
      <c r="Q19" s="9" t="n"/>
    </row>
    <row r="20">
      <c r="A20" s="9" t="inlineStr">
        <is>
          <t>1</t>
        </is>
      </c>
      <c r="B20" s="9" t="inlineStr">
        <is>
          <t>Cada tarea tiene un único responsable; apoyo no significa copropiedad.</t>
        </is>
      </c>
      <c r="C20" s="9" t="n"/>
      <c r="D20" s="9" t="n"/>
      <c r="E20" s="9" t="n"/>
      <c r="F20" s="9" t="n"/>
      <c r="G20" s="9" t="n"/>
      <c r="H20" s="9" t="n"/>
      <c r="I20" s="9" t="n"/>
      <c r="J20" s="9" t="n"/>
      <c r="K20" s="9" t="n"/>
      <c r="L20" s="9" t="n"/>
      <c r="M20" s="9" t="n"/>
      <c r="N20" s="9" t="n"/>
      <c r="O20" s="9" t="n"/>
      <c r="P20" s="9" t="n"/>
      <c r="Q20" s="9" t="n"/>
    </row>
    <row r="21" ht="15.75" customHeight="1" s="15">
      <c r="A21" s="9" t="inlineStr">
        <is>
          <t>2</t>
        </is>
      </c>
      <c r="B21" s="9" t="inlineStr">
        <is>
          <t>Los contratos TypeScript y migraciones se actualizan por PR, no por mensajes sueltos.</t>
        </is>
      </c>
      <c r="C21" s="9" t="n"/>
      <c r="D21" s="9" t="n"/>
      <c r="E21" s="9" t="n"/>
      <c r="F21" s="9" t="n"/>
      <c r="G21" s="9" t="n"/>
      <c r="H21" s="9" t="n"/>
      <c r="I21" s="9" t="n"/>
      <c r="J21" s="9" t="n"/>
      <c r="K21" s="9" t="n"/>
      <c r="L21" s="9" t="n"/>
      <c r="M21" s="9" t="n"/>
      <c r="N21" s="9" t="n"/>
      <c r="O21" s="9" t="n"/>
      <c r="P21" s="9" t="n"/>
      <c r="Q21" s="9" t="n"/>
    </row>
    <row r="22" ht="15.75" customHeight="1" s="15">
      <c r="A22" s="9" t="inlineStr">
        <is>
          <t>3</t>
        </is>
      </c>
      <c r="B22" s="9" t="inlineStr">
        <is>
          <t>Bloqueos se reportan inmediatamente en el tablero y en el grupo.</t>
        </is>
      </c>
      <c r="C22" s="9" t="n"/>
      <c r="D22" s="9" t="n"/>
      <c r="E22" s="9" t="n"/>
      <c r="F22" s="9" t="n"/>
      <c r="G22" s="9" t="n"/>
      <c r="H22" s="9" t="n"/>
      <c r="I22" s="9" t="n"/>
      <c r="J22" s="9" t="n"/>
      <c r="K22" s="9" t="n"/>
      <c r="L22" s="9" t="n"/>
      <c r="M22" s="9" t="n"/>
      <c r="N22" s="9" t="n"/>
      <c r="O22" s="9" t="n"/>
      <c r="P22" s="9" t="n"/>
      <c r="Q22" s="9" t="n"/>
    </row>
    <row r="23" ht="15.75" customHeight="1" s="15">
      <c r="A23" s="9" t="inlineStr">
        <is>
          <t>4</t>
        </is>
      </c>
      <c r="B23" s="9" t="inlineStr">
        <is>
          <t>Después de Sprint 3 no se agregan funciones nuevas.</t>
        </is>
      </c>
      <c r="C23" s="9" t="n"/>
      <c r="D23" s="9" t="n"/>
      <c r="E23" s="9" t="n"/>
      <c r="F23" s="9" t="n"/>
      <c r="G23" s="9" t="n"/>
      <c r="H23" s="9" t="n"/>
      <c r="I23" s="9" t="n"/>
      <c r="J23" s="9" t="n"/>
      <c r="K23" s="9" t="n"/>
      <c r="L23" s="9" t="n"/>
      <c r="M23" s="9" t="n"/>
      <c r="N23" s="9" t="n"/>
      <c r="O23" s="9" t="n"/>
      <c r="P23" s="9" t="n"/>
      <c r="Q23" s="9" t="n"/>
    </row>
    <row r="24" ht="15.75" customHeight="1" s="15">
      <c r="A24" s="9" t="inlineStr">
        <is>
          <t>5</t>
        </is>
      </c>
      <c r="B24" s="9" t="inlineStr">
        <is>
          <t>OpenAI es el único proveedor externo de IA del MVP; no se utiliza Gemini.</t>
        </is>
      </c>
      <c r="C24" s="9" t="n"/>
      <c r="D24" s="9" t="n"/>
      <c r="E24" s="9" t="n"/>
      <c r="F24" s="9" t="n"/>
      <c r="G24" s="9" t="n"/>
      <c r="H24" s="9" t="n"/>
      <c r="I24" s="9" t="n"/>
      <c r="J24" s="9" t="n"/>
      <c r="K24" s="9" t="n"/>
      <c r="L24" s="9" t="n"/>
      <c r="M24" s="9" t="n"/>
      <c r="N24" s="9" t="n"/>
      <c r="O24" s="9" t="n"/>
      <c r="P24" s="9" t="n"/>
      <c r="Q24" s="9" t="n"/>
    </row>
    <row r="25" ht="15.75" customHeight="1" s="15">
      <c r="A25" s="9" t="inlineStr">
        <is>
          <t>6</t>
        </is>
      </c>
      <c r="B25" s="9" t="inlineStr">
        <is>
          <t>La demo debe funcionar con datos cacheados y seed aun sin conexión a APIs externas.</t>
        </is>
      </c>
      <c r="C25" s="9" t="n"/>
      <c r="D25" s="9" t="n"/>
      <c r="E25" s="9" t="n"/>
      <c r="F25" s="9" t="n"/>
      <c r="G25" s="9" t="n"/>
      <c r="H25" s="9" t="n"/>
      <c r="I25" s="9" t="n"/>
      <c r="J25" s="9" t="n"/>
      <c r="K25" s="9" t="n"/>
      <c r="L25" s="9" t="n"/>
      <c r="M25" s="9" t="n"/>
      <c r="N25" s="9" t="n"/>
      <c r="O25" s="9" t="n"/>
      <c r="P25" s="9" t="n"/>
      <c r="Q25" s="9" t="n"/>
    </row>
    <row r="26" ht="15.75" customHeight="1" s="15"/>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mergeCells count="5">
    <mergeCell ref="A4:B4"/>
    <mergeCell ref="A12:H12"/>
    <mergeCell ref="A19:H19"/>
    <mergeCell ref="D4:H4"/>
    <mergeCell ref="A1:H2"/>
  </mergeCells>
  <pageMargins left="0.7" right="0.7" top="0.75" bottom="0.75" header="0" footer="0"/>
  <pageSetup orientation="landscape"/>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Q67"/>
  <sheetViews>
    <sheetView workbookViewId="0">
      <selection activeCell="A1" sqref="A1"/>
    </sheetView>
  </sheetViews>
  <sheetFormatPr baseColWidth="8" defaultColWidth="12.63" defaultRowHeight="15" customHeight="1"/>
  <cols>
    <col width="10" customWidth="1" style="15" min="1" max="1"/>
    <col width="12" customWidth="1" style="15" min="2" max="2"/>
    <col width="20" customWidth="1" style="15" min="3" max="3"/>
    <col width="42" customWidth="1" style="15" min="4" max="4"/>
    <col width="12" customWidth="1" style="15" min="5" max="7"/>
    <col width="14" customWidth="1" style="15" min="8" max="8"/>
    <col width="9" customWidth="1" style="15" min="9" max="9"/>
    <col width="24" customWidth="1" style="15" min="10" max="10"/>
    <col width="42" customWidth="1" style="15" min="11" max="11"/>
    <col width="18" customWidth="1" style="15" min="12" max="12"/>
    <col width="8.630000000000001" customWidth="1" style="15" min="13" max="26"/>
  </cols>
  <sheetData>
    <row r="1">
      <c r="A1" s="6" t="inlineStr">
        <is>
          <t>ID</t>
        </is>
      </c>
      <c r="B1" s="6" t="inlineStr">
        <is>
          <t>Sprint</t>
        </is>
      </c>
      <c r="C1" s="6" t="inlineStr">
        <is>
          <t>Épica</t>
        </is>
      </c>
      <c r="D1" s="6" t="inlineStr">
        <is>
          <t>Tarea exacta</t>
        </is>
      </c>
      <c r="E1" s="6" t="inlineStr">
        <is>
          <t>Responsable</t>
        </is>
      </c>
      <c r="F1" s="6" t="inlineStr">
        <is>
          <t>Apoyo</t>
        </is>
      </c>
      <c r="G1" s="6" t="inlineStr">
        <is>
          <t>Prioridad</t>
        </is>
      </c>
      <c r="H1" s="6" t="inlineStr">
        <is>
          <t>Estado</t>
        </is>
      </c>
      <c r="I1" s="6" t="inlineStr">
        <is>
          <t>Horas</t>
        </is>
      </c>
      <c r="J1" s="6" t="inlineStr">
        <is>
          <t>Dependencias</t>
        </is>
      </c>
      <c r="K1" s="6" t="inlineStr">
        <is>
          <t>Criterio de aceptación</t>
        </is>
      </c>
      <c r="L1" s="6" t="inlineStr">
        <is>
          <t>Entregable</t>
        </is>
      </c>
      <c r="N1" s="7" t="inlineStr">
        <is>
          <t>Nota de estimación</t>
        </is>
      </c>
    </row>
    <row r="2">
      <c r="A2" s="9" t="inlineStr">
        <is>
          <t>S0-01</t>
        </is>
      </c>
      <c r="B2" s="9" t="inlineStr">
        <is>
          <t>Sprint 0</t>
        </is>
      </c>
      <c r="C2" s="9" t="inlineStr">
        <is>
          <t>Fundación</t>
        </is>
      </c>
      <c r="D2" s="9" t="inlineStr">
        <is>
          <t>Crear repositorio, reglas de ramas y plantilla de PR</t>
        </is>
      </c>
      <c r="E2" s="9" t="inlineStr">
        <is>
          <t>R</t>
        </is>
      </c>
      <c r="F2" s="9" t="inlineStr">
        <is>
          <t>D</t>
        </is>
      </c>
      <c r="G2" s="9" t="inlineStr">
        <is>
          <t>Crítica</t>
        </is>
      </c>
      <c r="H2" s="9" t="inlineStr">
        <is>
          <t>Completada</t>
        </is>
      </c>
      <c r="I2" s="10" t="n">
        <v>2</v>
      </c>
      <c r="J2" s="9" t="n"/>
      <c r="K2" s="9" t="inlineStr">
        <is>
          <t>Repositorio listo, main protegida y plantilla de PR activa</t>
        </is>
      </c>
      <c r="L2" s="9" t="inlineStr">
        <is>
          <t>GitHub</t>
        </is>
      </c>
      <c r="N2" s="9" t="inlineStr">
        <is>
          <t>Las horas representan trabajo efectivo por responsable dentro de una hackathon de 36 h. No incluyen esperas, reuniones ni apoyo secundario. El total se mantiene dentro de la capacidad del equipo.</t>
        </is>
      </c>
    </row>
    <row r="3">
      <c r="A3" s="9" t="inlineStr">
        <is>
          <t>S0-02</t>
        </is>
      </c>
      <c r="B3" s="9" t="inlineStr">
        <is>
          <t>Sprint 0</t>
        </is>
      </c>
      <c r="C3" s="9" t="inlineStr">
        <is>
          <t>Fundación</t>
        </is>
      </c>
      <c r="D3" s="9" t="inlineStr">
        <is>
          <t>Crear proyecto Supabase y registrar variables en un gestor compartido</t>
        </is>
      </c>
      <c r="E3" s="9" t="inlineStr">
        <is>
          <t>R</t>
        </is>
      </c>
      <c r="F3" s="9" t="inlineStr">
        <is>
          <t>P</t>
        </is>
      </c>
      <c r="G3" s="9" t="inlineStr">
        <is>
          <t>Crítica</t>
        </is>
      </c>
      <c r="H3" s="9" t="inlineStr">
        <is>
          <t>Completada</t>
        </is>
      </c>
      <c r="I3" s="10" t="n">
        <v>1</v>
      </c>
      <c r="J3" s="9" t="inlineStr">
        <is>
          <t>S0-01</t>
        </is>
      </c>
      <c r="K3" s="9" t="inlineStr">
        <is>
          <t>Proyecto accesible; URL y claves separadas por entorno</t>
        </is>
      </c>
      <c r="L3" s="9" t="inlineStr">
        <is>
          <t>Supabase</t>
        </is>
      </c>
    </row>
    <row r="4">
      <c r="A4" s="9" t="inlineStr">
        <is>
          <t>S0-03</t>
        </is>
      </c>
      <c r="B4" s="9" t="inlineStr">
        <is>
          <t>Sprint 0</t>
        </is>
      </c>
      <c r="C4" s="9" t="inlineStr">
        <is>
          <t>Base de datos</t>
        </is>
      </c>
      <c r="D4" s="9" t="inlineStr">
        <is>
          <t>Auditar los scripts normalizados existentes y listar errores bloqueantes</t>
        </is>
      </c>
      <c r="E4" s="9" t="inlineStr">
        <is>
          <t>R</t>
        </is>
      </c>
      <c r="F4" s="9" t="inlineStr">
        <is>
          <t>M</t>
        </is>
      </c>
      <c r="G4" s="9" t="inlineStr">
        <is>
          <t>Crítica</t>
        </is>
      </c>
      <c r="H4" s="9" t="inlineStr">
        <is>
          <t>En progreso</t>
        </is>
      </c>
      <c r="I4" s="10" t="n">
        <v>2</v>
      </c>
      <c r="J4" s="9" t="inlineStr">
        <is>
          <t>S0-02</t>
        </is>
      </c>
      <c r="K4" s="9" t="inlineStr">
        <is>
          <t>Lista priorizada de correcciones con impacto y archivo afectado</t>
        </is>
      </c>
      <c r="L4" s="9" t="inlineStr">
        <is>
          <t>DB audit</t>
        </is>
      </c>
    </row>
    <row r="5">
      <c r="A5" s="9" t="inlineStr">
        <is>
          <t>S0-04</t>
        </is>
      </c>
      <c r="B5" s="9" t="inlineStr">
        <is>
          <t>Sprint 0</t>
        </is>
      </c>
      <c r="C5" s="9" t="inlineStr">
        <is>
          <t>Diseño</t>
        </is>
      </c>
      <c r="D5" s="9" t="inlineStr">
        <is>
          <t>Crear design tokens: color, tipografía, espaciado, radios e iconografía</t>
        </is>
      </c>
      <c r="E5" s="9" t="inlineStr">
        <is>
          <t>D</t>
        </is>
      </c>
      <c r="F5" s="9" t="inlineStr">
        <is>
          <t>R</t>
        </is>
      </c>
      <c r="G5" s="9" t="inlineStr">
        <is>
          <t>Alta</t>
        </is>
      </c>
      <c r="H5" s="9" t="inlineStr">
        <is>
          <t>En progreso</t>
        </is>
      </c>
      <c r="I5" s="10" t="n">
        <v>2</v>
      </c>
      <c r="J5" s="9" t="n"/>
      <c r="K5" s="9" t="inlineStr">
        <is>
          <t>Página Design System en Figma</t>
        </is>
      </c>
      <c r="L5" s="9" t="inlineStr">
        <is>
          <t>Figma</t>
        </is>
      </c>
    </row>
    <row r="6">
      <c r="A6" s="9" t="inlineStr">
        <is>
          <t>S0-05</t>
        </is>
      </c>
      <c r="B6" s="9" t="inlineStr">
        <is>
          <t>Sprint 0</t>
        </is>
      </c>
      <c r="C6" s="9" t="inlineStr">
        <is>
          <t>Diseño</t>
        </is>
      </c>
      <c r="D6" s="9" t="inlineStr">
        <is>
          <t>Construir logo SVG programático y variantes de marca</t>
        </is>
      </c>
      <c r="E6" s="9" t="inlineStr">
        <is>
          <t>D</t>
        </is>
      </c>
      <c r="F6" s="9" t="inlineStr">
        <is>
          <t>P</t>
        </is>
      </c>
      <c r="G6" s="9" t="inlineStr">
        <is>
          <t>Alta</t>
        </is>
      </c>
      <c r="H6" s="9" t="inlineStr">
        <is>
          <t>Completada</t>
        </is>
      </c>
      <c r="I6" s="10" t="n">
        <v>1</v>
      </c>
      <c r="J6" s="9" t="inlineStr">
        <is>
          <t>S0-04</t>
        </is>
      </c>
      <c r="K6" s="9" t="inlineStr">
        <is>
          <t>Logo principal, monocromo, blanco y favicon editables</t>
        </is>
      </c>
      <c r="L6" s="9" t="inlineStr">
        <is>
          <t>Brand</t>
        </is>
      </c>
    </row>
    <row r="7">
      <c r="A7" s="9" t="inlineStr">
        <is>
          <t>S0-06</t>
        </is>
      </c>
      <c r="B7" s="9" t="inlineStr">
        <is>
          <t>Sprint 0</t>
        </is>
      </c>
      <c r="C7" s="9" t="inlineStr">
        <is>
          <t>Producto</t>
        </is>
      </c>
      <c r="D7" s="9" t="inlineStr">
        <is>
          <t>Cerrar reglas de marketplace, publicaciones y estados</t>
        </is>
      </c>
      <c r="E7" s="9" t="inlineStr">
        <is>
          <t>M</t>
        </is>
      </c>
      <c r="F7" s="9" t="inlineStr">
        <is>
          <t>R</t>
        </is>
      </c>
      <c r="G7" s="9" t="inlineStr">
        <is>
          <t>Crítica</t>
        </is>
      </c>
      <c r="H7" s="9" t="inlineStr">
        <is>
          <t>Completada</t>
        </is>
      </c>
      <c r="I7" s="10" t="n">
        <v>1</v>
      </c>
      <c r="J7" s="9" t="n"/>
      <c r="K7" s="9" t="inlineStr">
        <is>
          <t>Documento con estados y transiciones aprobado por equipo</t>
        </is>
      </c>
      <c r="L7" s="9" t="inlineStr">
        <is>
          <t>Product rules</t>
        </is>
      </c>
    </row>
    <row r="8">
      <c r="A8" s="9" t="inlineStr">
        <is>
          <t>S0-07</t>
        </is>
      </c>
      <c r="B8" s="9" t="inlineStr">
        <is>
          <t>Sprint 0</t>
        </is>
      </c>
      <c r="C8" s="9" t="inlineStr">
        <is>
          <t>Negociación</t>
        </is>
      </c>
      <c r="D8" s="9" t="inlineStr">
        <is>
          <t>Cerrar reglas exactas de negociación rápida y conversacional</t>
        </is>
      </c>
      <c r="E8" s="9" t="inlineStr">
        <is>
          <t>M</t>
        </is>
      </c>
      <c r="F8" s="9" t="inlineStr">
        <is>
          <t>R</t>
        </is>
      </c>
      <c r="G8" s="9" t="inlineStr">
        <is>
          <t>Crítica</t>
        </is>
      </c>
      <c r="H8" s="9" t="inlineStr">
        <is>
          <t>Completada</t>
        </is>
      </c>
      <c r="I8" s="10" t="n">
        <v>2</v>
      </c>
      <c r="J8" s="9" t="inlineStr">
        <is>
          <t>S0-06</t>
        </is>
      </c>
      <c r="K8" s="9" t="inlineStr">
        <is>
          <t>Casos límite, expiraciones e intentos definidos</t>
        </is>
      </c>
      <c r="L8" s="9" t="inlineStr">
        <is>
          <t>Negotiation spec</t>
        </is>
      </c>
    </row>
    <row r="9">
      <c r="A9" s="9" t="inlineStr">
        <is>
          <t>S0-08</t>
        </is>
      </c>
      <c r="B9" s="9" t="inlineStr">
        <is>
          <t>Sprint 0</t>
        </is>
      </c>
      <c r="C9" s="9" t="inlineStr">
        <is>
          <t>Logística</t>
        </is>
      </c>
      <c r="D9" s="9" t="inlineStr">
        <is>
          <t>Definir catálogo de vehículos, modalidades y estados del envío</t>
        </is>
      </c>
      <c r="E9" s="9" t="inlineStr">
        <is>
          <t>P</t>
        </is>
      </c>
      <c r="F9" s="9" t="inlineStr">
        <is>
          <t>M</t>
        </is>
      </c>
      <c r="G9" s="9" t="inlineStr">
        <is>
          <t>Alta</t>
        </is>
      </c>
      <c r="H9" s="9" t="inlineStr">
        <is>
          <t>No iniciada</t>
        </is>
      </c>
      <c r="I9" s="10" t="n">
        <v>1</v>
      </c>
      <c r="J9" s="9" t="n"/>
      <c r="K9" s="9" t="inlineStr">
        <is>
          <t>Catálogo y máquina de estados aprobados</t>
        </is>
      </c>
      <c r="L9" s="9" t="inlineStr">
        <is>
          <t>Logistics spec</t>
        </is>
      </c>
    </row>
    <row r="10">
      <c r="A10" s="9" t="inlineStr">
        <is>
          <t>S0-09</t>
        </is>
      </c>
      <c r="B10" s="9" t="inlineStr">
        <is>
          <t>Sprint 0</t>
        </is>
      </c>
      <c r="C10" s="9" t="inlineStr">
        <is>
          <t>IA/Riesgo</t>
        </is>
      </c>
      <c r="D10" s="9" t="inlineStr">
        <is>
          <t>Definir esquema JSON de eventos y fórmula inicial de riesgo</t>
        </is>
      </c>
      <c r="E10" s="9" t="inlineStr">
        <is>
          <t>P</t>
        </is>
      </c>
      <c r="F10" s="9" t="inlineStr">
        <is>
          <t>R</t>
        </is>
      </c>
      <c r="G10" s="9" t="inlineStr">
        <is>
          <t>Crítica</t>
        </is>
      </c>
      <c r="H10" s="9" t="inlineStr">
        <is>
          <t>No iniciada</t>
        </is>
      </c>
      <c r="I10" s="10" t="n">
        <v>2</v>
      </c>
      <c r="J10" s="9" t="n"/>
      <c r="K10" s="9" t="inlineStr">
        <is>
          <t>Schema Zod y fórmula documentados; sin Gemini</t>
        </is>
      </c>
      <c r="L10" s="9" t="inlineStr">
        <is>
          <t>Risk spec</t>
        </is>
      </c>
    </row>
    <row r="11">
      <c r="A11" s="9" t="inlineStr">
        <is>
          <t>S0-10</t>
        </is>
      </c>
      <c r="B11" s="9" t="inlineStr">
        <is>
          <t>Sprint 0</t>
        </is>
      </c>
      <c r="C11" s="9" t="inlineStr">
        <is>
          <t>Proyecto</t>
        </is>
      </c>
      <c r="D11" s="9" t="inlineStr">
        <is>
          <t>Crear proyecto Next.js, Tailwind, shadcn y deploy vacío en Vercel</t>
        </is>
      </c>
      <c r="E11" s="9" t="inlineStr">
        <is>
          <t>R</t>
        </is>
      </c>
      <c r="F11" s="9" t="inlineStr">
        <is>
          <t>D</t>
        </is>
      </c>
      <c r="G11" s="9" t="inlineStr">
        <is>
          <t>Crítica</t>
        </is>
      </c>
      <c r="H11" s="9" t="inlineStr">
        <is>
          <t>No iniciada</t>
        </is>
      </c>
      <c r="I11" s="10" t="n">
        <v>2</v>
      </c>
      <c r="J11" s="9" t="inlineStr">
        <is>
          <t>S0-01</t>
        </is>
      </c>
      <c r="K11" s="9" t="inlineStr">
        <is>
          <t>URL pública desplegada sin errores</t>
        </is>
      </c>
      <c r="L11" s="9" t="inlineStr">
        <is>
          <t>App shell</t>
        </is>
      </c>
    </row>
    <row r="12">
      <c r="A12" s="9" t="inlineStr">
        <is>
          <t>S0-11</t>
        </is>
      </c>
      <c r="B12" s="9" t="inlineStr">
        <is>
          <t>Sprint 0</t>
        </is>
      </c>
      <c r="C12" s="9" t="inlineStr">
        <is>
          <t>Datos</t>
        </is>
      </c>
      <c r="D12" s="9" t="inlineStr">
        <is>
          <t>Preparar escenarios de demo y usuarios semilla</t>
        </is>
      </c>
      <c r="E12" s="9" t="inlineStr">
        <is>
          <t>M</t>
        </is>
      </c>
      <c r="F12" s="9" t="inlineStr">
        <is>
          <t>P</t>
        </is>
      </c>
      <c r="G12" s="9" t="inlineStr">
        <is>
          <t>Alta</t>
        </is>
      </c>
      <c r="H12" s="9" t="inlineStr">
        <is>
          <t>Completada</t>
        </is>
      </c>
      <c r="I12" s="10" t="n">
        <v>1</v>
      </c>
      <c r="J12" s="9" t="inlineStr">
        <is>
          <t>S0-06</t>
        </is>
      </c>
      <c r="K12" s="9" t="inlineStr">
        <is>
          <t>3 productores, 2 compradores, 3 transportistas y 2 flujos</t>
        </is>
      </c>
      <c r="L12" s="9" t="inlineStr">
        <is>
          <t>Demo data plan</t>
        </is>
      </c>
    </row>
    <row r="13">
      <c r="A13" s="9" t="inlineStr">
        <is>
          <t>S0-12</t>
        </is>
      </c>
      <c r="B13" s="9" t="inlineStr">
        <is>
          <t>Sprint 0</t>
        </is>
      </c>
      <c r="C13" s="9" t="inlineStr">
        <is>
          <t>Coordinación</t>
        </is>
      </c>
      <c r="D13" s="9" t="inlineStr">
        <is>
          <t>Definir contratos TypeScript compartidos entre módulos</t>
        </is>
      </c>
      <c r="E13" s="9" t="inlineStr">
        <is>
          <t>R</t>
        </is>
      </c>
      <c r="F13" s="9" t="inlineStr">
        <is>
          <t>M</t>
        </is>
      </c>
      <c r="G13" s="9" t="inlineStr">
        <is>
          <t>Crítica</t>
        </is>
      </c>
      <c r="H13" s="9" t="inlineStr">
        <is>
          <t>No iniciada</t>
        </is>
      </c>
      <c r="I13" s="10" t="n">
        <v>1</v>
      </c>
      <c r="J13" s="9" t="inlineStr">
        <is>
          <t>S0-06,S0-08,S0-09</t>
        </is>
      </c>
      <c r="K13" s="9" t="inlineStr">
        <is>
          <t>Tipos base versionados y usados por todos</t>
        </is>
      </c>
      <c r="L13" s="9" t="inlineStr">
        <is>
          <t>Shared types</t>
        </is>
      </c>
    </row>
    <row r="14">
      <c r="A14" s="9" t="inlineStr">
        <is>
          <t>S1-01</t>
        </is>
      </c>
      <c r="B14" s="9" t="inlineStr">
        <is>
          <t>Sprint 1</t>
        </is>
      </c>
      <c r="C14" s="9" t="inlineStr">
        <is>
          <t>Base de datos</t>
        </is>
      </c>
      <c r="D14" s="9" t="inlineStr">
        <is>
          <t>Corregir modelo de actores, roles y organizaciones</t>
        </is>
      </c>
      <c r="E14" s="9" t="inlineStr">
        <is>
          <t>R</t>
        </is>
      </c>
      <c r="F14" s="9" t="inlineStr">
        <is>
          <t>M</t>
        </is>
      </c>
      <c r="G14" s="9" t="inlineStr">
        <is>
          <t>Crítica</t>
        </is>
      </c>
      <c r="H14" s="9" t="inlineStr">
        <is>
          <t>En progreso</t>
        </is>
      </c>
      <c r="I14" s="10" t="n">
        <v>2</v>
      </c>
      <c r="J14" s="9" t="inlineStr">
        <is>
          <t>S0-03</t>
        </is>
      </c>
      <c r="K14" s="9" t="inlineStr">
        <is>
          <t>Migración ejecuta limpia y soporta múltiples roles</t>
        </is>
      </c>
      <c r="L14" s="9" t="inlineStr">
        <is>
          <t>Migration</t>
        </is>
      </c>
    </row>
    <row r="15">
      <c r="A15" s="9" t="inlineStr">
        <is>
          <t>S1-02</t>
        </is>
      </c>
      <c r="B15" s="9" t="inlineStr">
        <is>
          <t>Sprint 1</t>
        </is>
      </c>
      <c r="C15" s="9" t="inlineStr">
        <is>
          <t>Base de datos</t>
        </is>
      </c>
      <c r="D15" s="9" t="inlineStr">
        <is>
          <t>Corregir integridad de ofertas, requerimientos y atributos de calidad</t>
        </is>
      </c>
      <c r="E15" s="9" t="inlineStr">
        <is>
          <t>R</t>
        </is>
      </c>
      <c r="F15" s="9" t="inlineStr">
        <is>
          <t>M</t>
        </is>
      </c>
      <c r="G15" s="9" t="inlineStr">
        <is>
          <t>Crítica</t>
        </is>
      </c>
      <c r="H15" s="9" t="inlineStr">
        <is>
          <t>No iniciada</t>
        </is>
      </c>
      <c r="I15" s="10" t="n">
        <v>2</v>
      </c>
      <c r="J15" s="9" t="inlineStr">
        <is>
          <t>S1-01</t>
        </is>
      </c>
      <c r="K15" s="9" t="inlineStr">
        <is>
          <t>FK, checks e índices validados con datos semilla</t>
        </is>
      </c>
      <c r="L15" s="9" t="inlineStr">
        <is>
          <t>Migration</t>
        </is>
      </c>
    </row>
    <row r="16">
      <c r="A16" s="9" t="inlineStr">
        <is>
          <t>S1-03</t>
        </is>
      </c>
      <c r="B16" s="9" t="inlineStr">
        <is>
          <t>Sprint 1</t>
        </is>
      </c>
      <c r="C16" s="9" t="inlineStr">
        <is>
          <t>Seguridad</t>
        </is>
      </c>
      <c r="D16" s="9" t="inlineStr">
        <is>
          <t>Implementar RLS inicial para perfiles, actores y publicaciones</t>
        </is>
      </c>
      <c r="E16" s="9" t="inlineStr">
        <is>
          <t>R</t>
        </is>
      </c>
      <c r="F16" s="9" t="inlineStr">
        <is>
          <t>P</t>
        </is>
      </c>
      <c r="G16" s="9" t="inlineStr">
        <is>
          <t>Crítica</t>
        </is>
      </c>
      <c r="H16" s="9" t="inlineStr">
        <is>
          <t>No iniciada</t>
        </is>
      </c>
      <c r="I16" s="10" t="n">
        <v>2</v>
      </c>
      <c r="J16" s="9" t="inlineStr">
        <is>
          <t>S1-01</t>
        </is>
      </c>
      <c r="K16" s="9" t="inlineStr">
        <is>
          <t>Usuarios no pueden editar datos ajenos</t>
        </is>
      </c>
      <c r="L16" s="9" t="inlineStr">
        <is>
          <t>RLS</t>
        </is>
      </c>
    </row>
    <row r="17">
      <c r="A17" s="9" t="inlineStr">
        <is>
          <t>S1-04</t>
        </is>
      </c>
      <c r="B17" s="9" t="inlineStr">
        <is>
          <t>Sprint 1</t>
        </is>
      </c>
      <c r="C17" s="9" t="inlineStr">
        <is>
          <t>Frontend</t>
        </is>
      </c>
      <c r="D17" s="9" t="inlineStr">
        <is>
          <t>Implementar layout responsive, navegación por rol y shell de dashboard</t>
        </is>
      </c>
      <c r="E17" s="9" t="inlineStr">
        <is>
          <t>D</t>
        </is>
      </c>
      <c r="F17" s="9" t="inlineStr">
        <is>
          <t>R</t>
        </is>
      </c>
      <c r="G17" s="9" t="inlineStr">
        <is>
          <t>Crítica</t>
        </is>
      </c>
      <c r="H17" s="9" t="inlineStr">
        <is>
          <t>No iniciada</t>
        </is>
      </c>
      <c r="I17" s="10" t="n">
        <v>2</v>
      </c>
      <c r="J17" s="9" t="inlineStr">
        <is>
          <t>S0-04,S0-10</t>
        </is>
      </c>
      <c r="K17" s="9" t="inlineStr">
        <is>
          <t>Desktop y móvil con navegación funcional</t>
        </is>
      </c>
      <c r="L17" s="9" t="inlineStr">
        <is>
          <t>Frontend</t>
        </is>
      </c>
    </row>
    <row r="18">
      <c r="A18" s="9" t="inlineStr">
        <is>
          <t>S1-05</t>
        </is>
      </c>
      <c r="B18" s="9" t="inlineStr">
        <is>
          <t>Sprint 1</t>
        </is>
      </c>
      <c r="C18" s="9" t="inlineStr">
        <is>
          <t>Frontend</t>
        </is>
      </c>
      <c r="D18" s="9" t="inlineStr">
        <is>
          <t>Implementar login, registro y selección de rol</t>
        </is>
      </c>
      <c r="E18" s="9" t="inlineStr">
        <is>
          <t>D</t>
        </is>
      </c>
      <c r="F18" s="9" t="inlineStr">
        <is>
          <t>R</t>
        </is>
      </c>
      <c r="G18" s="9" t="inlineStr">
        <is>
          <t>Alta</t>
        </is>
      </c>
      <c r="H18" s="9" t="inlineStr">
        <is>
          <t>No iniciada</t>
        </is>
      </c>
      <c r="I18" s="10" t="n">
        <v>2</v>
      </c>
      <c r="J18" s="9" t="inlineStr">
        <is>
          <t>S1-04</t>
        </is>
      </c>
      <c r="K18" s="9" t="inlineStr">
        <is>
          <t>Flujo conectado con Supabase Auth</t>
        </is>
      </c>
      <c r="L18" s="9" t="inlineStr">
        <is>
          <t>Frontend</t>
        </is>
      </c>
    </row>
    <row r="19">
      <c r="A19" s="9" t="inlineStr">
        <is>
          <t>S1-06</t>
        </is>
      </c>
      <c r="B19" s="9" t="inlineStr">
        <is>
          <t>Sprint 1</t>
        </is>
      </c>
      <c r="C19" s="9" t="inlineStr">
        <is>
          <t>Frontend</t>
        </is>
      </c>
      <c r="D19" s="9" t="inlineStr">
        <is>
          <t>Implementar onboarding de productor, comprador y transportista</t>
        </is>
      </c>
      <c r="E19" s="9" t="inlineStr">
        <is>
          <t>D</t>
        </is>
      </c>
      <c r="F19" s="9" t="inlineStr">
        <is>
          <t>M</t>
        </is>
      </c>
      <c r="G19" s="9" t="inlineStr">
        <is>
          <t>Alta</t>
        </is>
      </c>
      <c r="H19" s="9" t="inlineStr">
        <is>
          <t>No iniciada</t>
        </is>
      </c>
      <c r="I19" s="10" t="n">
        <v>2</v>
      </c>
      <c r="J19" s="9" t="inlineStr">
        <is>
          <t>S1-05</t>
        </is>
      </c>
      <c r="K19" s="9" t="inlineStr">
        <is>
          <t>Los tres perfiles pueden completar onboarding</t>
        </is>
      </c>
      <c r="L19" s="9" t="inlineStr">
        <is>
          <t>Frontend</t>
        </is>
      </c>
    </row>
    <row r="20">
      <c r="A20" s="9" t="inlineStr">
        <is>
          <t>S1-07</t>
        </is>
      </c>
      <c r="B20" s="9" t="inlineStr">
        <is>
          <t>Sprint 1</t>
        </is>
      </c>
      <c r="C20" s="9" t="inlineStr">
        <is>
          <t>Marketplace</t>
        </is>
      </c>
      <c r="D20" s="9" t="inlineStr">
        <is>
          <t>Crear servicios CRUD de productos y requerimientos</t>
        </is>
      </c>
      <c r="E20" s="9" t="inlineStr">
        <is>
          <t>M</t>
        </is>
      </c>
      <c r="F20" s="9" t="inlineStr">
        <is>
          <t>R</t>
        </is>
      </c>
      <c r="G20" s="9" t="inlineStr">
        <is>
          <t>Crítica</t>
        </is>
      </c>
      <c r="H20" s="9" t="inlineStr">
        <is>
          <t>No iniciada</t>
        </is>
      </c>
      <c r="I20" s="10" t="n">
        <v>2</v>
      </c>
      <c r="J20" s="9" t="inlineStr">
        <is>
          <t>S1-02,S0-12</t>
        </is>
      </c>
      <c r="K20" s="9" t="inlineStr">
        <is>
          <t>Crear, leer, actualizar y pausar publicaciones</t>
        </is>
      </c>
      <c r="L20" s="9" t="inlineStr">
        <is>
          <t>API</t>
        </is>
      </c>
    </row>
    <row r="21" ht="15.75" customHeight="1" s="15">
      <c r="A21" s="9" t="inlineStr">
        <is>
          <t>S1-08</t>
        </is>
      </c>
      <c r="B21" s="9" t="inlineStr">
        <is>
          <t>Sprint 1</t>
        </is>
      </c>
      <c r="C21" s="9" t="inlineStr">
        <is>
          <t>Marketplace</t>
        </is>
      </c>
      <c r="D21" s="9" t="inlineStr">
        <is>
          <t>Crear formularios stepper para publicar producto y requerimiento</t>
        </is>
      </c>
      <c r="E21" s="9" t="inlineStr">
        <is>
          <t>M</t>
        </is>
      </c>
      <c r="F21" s="9" t="inlineStr">
        <is>
          <t>D</t>
        </is>
      </c>
      <c r="G21" s="9" t="inlineStr">
        <is>
          <t>Crítica</t>
        </is>
      </c>
      <c r="H21" s="9" t="inlineStr">
        <is>
          <t>No iniciada</t>
        </is>
      </c>
      <c r="I21" s="10" t="n">
        <v>2</v>
      </c>
      <c r="J21" s="9" t="inlineStr">
        <is>
          <t>S1-07,S1-04</t>
        </is>
      </c>
      <c r="K21" s="9" t="inlineStr">
        <is>
          <t>Formularios validan y persisten datos</t>
        </is>
      </c>
      <c r="L21" s="9" t="inlineStr">
        <is>
          <t>Feature</t>
        </is>
      </c>
    </row>
    <row r="22" ht="15.75" customHeight="1" s="15">
      <c r="A22" s="9" t="inlineStr">
        <is>
          <t>S1-09</t>
        </is>
      </c>
      <c r="B22" s="9" t="inlineStr">
        <is>
          <t>Sprint 1</t>
        </is>
      </c>
      <c r="C22" s="9" t="inlineStr">
        <is>
          <t>Marketplace</t>
        </is>
      </c>
      <c r="D22" s="9" t="inlineStr">
        <is>
          <t>Construir listado, filtros y búsqueda del marketplace</t>
        </is>
      </c>
      <c r="E22" s="9" t="inlineStr">
        <is>
          <t>D</t>
        </is>
      </c>
      <c r="F22" s="9" t="inlineStr">
        <is>
          <t>M</t>
        </is>
      </c>
      <c r="G22" s="9" t="inlineStr">
        <is>
          <t>Crítica</t>
        </is>
      </c>
      <c r="H22" s="9" t="inlineStr">
        <is>
          <t>No iniciada</t>
        </is>
      </c>
      <c r="I22" s="10" t="n">
        <v>2</v>
      </c>
      <c r="J22" s="9" t="inlineStr">
        <is>
          <t>S1-07,S1-04</t>
        </is>
      </c>
      <c r="K22" s="9" t="inlineStr">
        <is>
          <t>Listado usa datos reales de Supabase</t>
        </is>
      </c>
      <c r="L22" s="9" t="inlineStr">
        <is>
          <t>Frontend</t>
        </is>
      </c>
    </row>
    <row r="23" ht="15.75" customHeight="1" s="15">
      <c r="A23" s="9" t="inlineStr">
        <is>
          <t>S1-10</t>
        </is>
      </c>
      <c r="B23" s="9" t="inlineStr">
        <is>
          <t>Sprint 1</t>
        </is>
      </c>
      <c r="C23" s="9" t="inlineStr">
        <is>
          <t>Marketplace</t>
        </is>
      </c>
      <c r="D23" s="9" t="inlineStr">
        <is>
          <t>Construir detalle de producto y detalle de requerimiento</t>
        </is>
      </c>
      <c r="E23" s="9" t="inlineStr">
        <is>
          <t>D</t>
        </is>
      </c>
      <c r="F23" s="9" t="inlineStr">
        <is>
          <t>M</t>
        </is>
      </c>
      <c r="G23" s="9" t="inlineStr">
        <is>
          <t>Crítica</t>
        </is>
      </c>
      <c r="H23" s="9" t="inlineStr">
        <is>
          <t>No iniciada</t>
        </is>
      </c>
      <c r="I23" s="10" t="n">
        <v>2</v>
      </c>
      <c r="J23" s="9" t="inlineStr">
        <is>
          <t>S1-09</t>
        </is>
      </c>
      <c r="K23" s="9" t="inlineStr">
        <is>
          <t>Ambos detalles tienen CTA según rol</t>
        </is>
      </c>
      <c r="L23" s="9" t="inlineStr">
        <is>
          <t>Frontend</t>
        </is>
      </c>
    </row>
    <row r="24" ht="15.75" customHeight="1" s="15">
      <c r="A24" s="9" t="inlineStr">
        <is>
          <t>S1-11</t>
        </is>
      </c>
      <c r="B24" s="9" t="inlineStr">
        <is>
          <t>Sprint 1</t>
        </is>
      </c>
      <c r="C24" s="9" t="inlineStr">
        <is>
          <t>Logística</t>
        </is>
      </c>
      <c r="D24" s="9" t="inlineStr">
        <is>
          <t>Corregir tablas de vehículos, documentos y propietarios</t>
        </is>
      </c>
      <c r="E24" s="9" t="inlineStr">
        <is>
          <t>P</t>
        </is>
      </c>
      <c r="F24" s="9" t="inlineStr">
        <is>
          <t>R</t>
        </is>
      </c>
      <c r="G24" s="9" t="inlineStr">
        <is>
          <t>Alta</t>
        </is>
      </c>
      <c r="H24" s="9" t="inlineStr">
        <is>
          <t>No iniciada</t>
        </is>
      </c>
      <c r="I24" s="10" t="n">
        <v>2</v>
      </c>
      <c r="J24" s="9" t="inlineStr">
        <is>
          <t>S0-03,S0-08</t>
        </is>
      </c>
      <c r="K24" s="9" t="inlineStr">
        <is>
          <t>Modelo soporta independientes y empresas</t>
        </is>
      </c>
      <c r="L24" s="9" t="inlineStr">
        <is>
          <t>Migration</t>
        </is>
      </c>
    </row>
    <row r="25" ht="15.75" customHeight="1" s="15">
      <c r="A25" s="9" t="inlineStr">
        <is>
          <t>S1-12</t>
        </is>
      </c>
      <c r="B25" s="9" t="inlineStr">
        <is>
          <t>Sprint 1</t>
        </is>
      </c>
      <c r="C25" s="9" t="inlineStr">
        <is>
          <t>Logística</t>
        </is>
      </c>
      <c r="D25" s="9" t="inlineStr">
        <is>
          <t>Implementar CRUD de vehículos y perfil de transportista</t>
        </is>
      </c>
      <c r="E25" s="9" t="inlineStr">
        <is>
          <t>P</t>
        </is>
      </c>
      <c r="F25" s="9" t="inlineStr">
        <is>
          <t>D</t>
        </is>
      </c>
      <c r="G25" s="9" t="inlineStr">
        <is>
          <t>Alta</t>
        </is>
      </c>
      <c r="H25" s="9" t="inlineStr">
        <is>
          <t>No iniciada</t>
        </is>
      </c>
      <c r="I25" s="10" t="n">
        <v>2</v>
      </c>
      <c r="J25" s="9" t="inlineStr">
        <is>
          <t>S1-11,S1-06</t>
        </is>
      </c>
      <c r="K25" s="9" t="inlineStr">
        <is>
          <t>Vehículo creado, editado y visible</t>
        </is>
      </c>
      <c r="L25" s="9" t="inlineStr">
        <is>
          <t>Feature</t>
        </is>
      </c>
    </row>
    <row r="26" ht="15.75" customHeight="1" s="15">
      <c r="A26" s="9" t="inlineStr">
        <is>
          <t>S1-13</t>
        </is>
      </c>
      <c r="B26" s="9" t="inlineStr">
        <is>
          <t>Sprint 1</t>
        </is>
      </c>
      <c r="C26" s="9" t="inlineStr">
        <is>
          <t>Mapas</t>
        </is>
      </c>
      <c r="D26" s="9" t="inlineStr">
        <is>
          <t>Configurar Mapbox y componente base de mapa</t>
        </is>
      </c>
      <c r="E26" s="9" t="inlineStr">
        <is>
          <t>P</t>
        </is>
      </c>
      <c r="F26" s="9" t="inlineStr">
        <is>
          <t>D</t>
        </is>
      </c>
      <c r="G26" s="9" t="inlineStr">
        <is>
          <t>Alta</t>
        </is>
      </c>
      <c r="H26" s="9" t="inlineStr">
        <is>
          <t>No iniciada</t>
        </is>
      </c>
      <c r="I26" s="10" t="n">
        <v>2</v>
      </c>
      <c r="J26" s="9" t="inlineStr">
        <is>
          <t>S0-10</t>
        </is>
      </c>
      <c r="K26" s="9" t="inlineStr">
        <is>
          <t>Mapa muestra puntos de demo y funciona en móvil</t>
        </is>
      </c>
      <c r="L26" s="9" t="inlineStr">
        <is>
          <t>Map</t>
        </is>
      </c>
    </row>
    <row r="27" ht="15.75" customHeight="1" s="15">
      <c r="A27" s="9" t="inlineStr">
        <is>
          <t>S1-14</t>
        </is>
      </c>
      <c r="B27" s="9" t="inlineStr">
        <is>
          <t>Sprint 1</t>
        </is>
      </c>
      <c r="C27" s="9" t="inlineStr">
        <is>
          <t>Datos</t>
        </is>
      </c>
      <c r="D27" s="9" t="inlineStr">
        <is>
          <t>Crear seed reproducible para catálogo, ubicaciones y usuarios demo</t>
        </is>
      </c>
      <c r="E27" s="9" t="inlineStr">
        <is>
          <t>M</t>
        </is>
      </c>
      <c r="F27" s="9" t="inlineStr">
        <is>
          <t>R</t>
        </is>
      </c>
      <c r="G27" s="9" t="inlineStr">
        <is>
          <t>Alta</t>
        </is>
      </c>
      <c r="H27" s="9" t="inlineStr">
        <is>
          <t>No iniciada</t>
        </is>
      </c>
      <c r="I27" s="10" t="n">
        <v>2</v>
      </c>
      <c r="J27" s="9" t="inlineStr">
        <is>
          <t>S1-02,S1-11,S0-11</t>
        </is>
      </c>
      <c r="K27" s="9" t="inlineStr">
        <is>
          <t>Seed recrea entorno completo sin pasos manuales</t>
        </is>
      </c>
      <c r="L27" s="9" t="inlineStr">
        <is>
          <t>Seed</t>
        </is>
      </c>
    </row>
    <row r="28" ht="15.75" customHeight="1" s="15">
      <c r="A28" s="9" t="inlineStr">
        <is>
          <t>S2-01</t>
        </is>
      </c>
      <c r="B28" s="9" t="inlineStr">
        <is>
          <t>Sprint 2</t>
        </is>
      </c>
      <c r="C28" s="9" t="inlineStr">
        <is>
          <t>Negociación rápida</t>
        </is>
      </c>
      <c r="D28" s="9" t="inlineStr">
        <is>
          <t>Corregir y probar RPC submit_quick_offer</t>
        </is>
      </c>
      <c r="E28" s="9" t="inlineStr">
        <is>
          <t>R</t>
        </is>
      </c>
      <c r="F28" s="9" t="inlineStr">
        <is>
          <t>M</t>
        </is>
      </c>
      <c r="G28" s="9" t="inlineStr">
        <is>
          <t>Crítica</t>
        </is>
      </c>
      <c r="H28" s="9" t="inlineStr">
        <is>
          <t>No iniciada</t>
        </is>
      </c>
      <c r="I28" s="10" t="n">
        <v>2</v>
      </c>
      <c r="J28" s="9" t="inlineStr">
        <is>
          <t>S1-02,S0-07</t>
        </is>
      </c>
      <c r="K28" s="9" t="inlineStr">
        <is>
          <t>Mínimo privado no sale al cliente y reserva stock</t>
        </is>
      </c>
      <c r="L28" s="9" t="inlineStr">
        <is>
          <t>RPC</t>
        </is>
      </c>
    </row>
    <row r="29" ht="15.75" customHeight="1" s="15">
      <c r="A29" s="9" t="inlineStr">
        <is>
          <t>S2-02</t>
        </is>
      </c>
      <c r="B29" s="9" t="inlineStr">
        <is>
          <t>Sprint 2</t>
        </is>
      </c>
      <c r="C29" s="9" t="inlineStr">
        <is>
          <t>Negociación rápida</t>
        </is>
      </c>
      <c r="D29" s="9" t="inlineStr">
        <is>
          <t>Implementar límites de intentos y liberación de reservas expiradas</t>
        </is>
      </c>
      <c r="E29" s="9" t="inlineStr">
        <is>
          <t>R</t>
        </is>
      </c>
      <c r="F29" s="9" t="inlineStr">
        <is>
          <t>M</t>
        </is>
      </c>
      <c r="G29" s="9" t="inlineStr">
        <is>
          <t>Crítica</t>
        </is>
      </c>
      <c r="H29" s="9" t="inlineStr">
        <is>
          <t>No iniciada</t>
        </is>
      </c>
      <c r="I29" s="10" t="n">
        <v>2</v>
      </c>
      <c r="J29" s="9" t="inlineStr">
        <is>
          <t>S2-01</t>
        </is>
      </c>
      <c r="K29" s="9" t="inlineStr">
        <is>
          <t>Tres intentos; stock liberado automáticamente</t>
        </is>
      </c>
      <c r="L29" s="9" t="inlineStr">
        <is>
          <t>Backend</t>
        </is>
      </c>
    </row>
    <row r="30" ht="15.75" customHeight="1" s="15">
      <c r="A30" s="9" t="inlineStr">
        <is>
          <t>S2-03</t>
        </is>
      </c>
      <c r="B30" s="9" t="inlineStr">
        <is>
          <t>Sprint 2</t>
        </is>
      </c>
      <c r="C30" s="9" t="inlineStr">
        <is>
          <t>Negociación rápida</t>
        </is>
      </c>
      <c r="D30" s="9" t="inlineStr">
        <is>
          <t>Construir modal de oferta rápida y estados de respuesta</t>
        </is>
      </c>
      <c r="E30" s="9" t="inlineStr">
        <is>
          <t>M</t>
        </is>
      </c>
      <c r="F30" s="9" t="inlineStr">
        <is>
          <t>D</t>
        </is>
      </c>
      <c r="G30" s="9" t="inlineStr">
        <is>
          <t>Crítica</t>
        </is>
      </c>
      <c r="H30" s="9" t="inlineStr">
        <is>
          <t>No iniciada</t>
        </is>
      </c>
      <c r="I30" s="10" t="n">
        <v>2</v>
      </c>
      <c r="J30" s="9" t="inlineStr">
        <is>
          <t>S2-01,S1-10</t>
        </is>
      </c>
      <c r="K30" s="9" t="inlineStr">
        <is>
          <t>Aceptada, rechazada, sin stock y rate limit visibles</t>
        </is>
      </c>
      <c r="L30" s="9" t="inlineStr">
        <is>
          <t>Feature</t>
        </is>
      </c>
    </row>
    <row r="31" ht="15.75" customHeight="1" s="15">
      <c r="A31" s="9" t="inlineStr">
        <is>
          <t>S2-04</t>
        </is>
      </c>
      <c r="B31" s="9" t="inlineStr">
        <is>
          <t>Sprint 2</t>
        </is>
      </c>
      <c r="C31" s="9" t="inlineStr">
        <is>
          <t>Negociación conversacional</t>
        </is>
      </c>
      <c r="D31" s="9" t="inlineStr">
        <is>
          <t>Crear tablas/servicios de conversaciones, mensajes y propuestas</t>
        </is>
      </c>
      <c r="E31" s="9" t="inlineStr">
        <is>
          <t>M</t>
        </is>
      </c>
      <c r="F31" s="9" t="inlineStr">
        <is>
          <t>R</t>
        </is>
      </c>
      <c r="G31" s="9" t="inlineStr">
        <is>
          <t>Crítica</t>
        </is>
      </c>
      <c r="H31" s="9" t="inlineStr">
        <is>
          <t>No iniciada</t>
        </is>
      </c>
      <c r="I31" s="10" t="n">
        <v>2</v>
      </c>
      <c r="J31" s="9" t="inlineStr">
        <is>
          <t>S1-02,S0-07</t>
        </is>
      </c>
      <c r="K31" s="9" t="inlineStr">
        <is>
          <t>Mensajes y propuestas persisten con permisos correctos</t>
        </is>
      </c>
      <c r="L31" s="9" t="inlineStr">
        <is>
          <t>Backend</t>
        </is>
      </c>
    </row>
    <row r="32" ht="15.75" customHeight="1" s="15">
      <c r="A32" s="9" t="inlineStr">
        <is>
          <t>S2-05</t>
        </is>
      </c>
      <c r="B32" s="9" t="inlineStr">
        <is>
          <t>Sprint 2</t>
        </is>
      </c>
      <c r="C32" s="9" t="inlineStr">
        <is>
          <t>Negociación conversacional</t>
        </is>
      </c>
      <c r="D32" s="9" t="inlineStr">
        <is>
          <t>Implementar Realtime para chat</t>
        </is>
      </c>
      <c r="E32" s="9" t="inlineStr">
        <is>
          <t>M</t>
        </is>
      </c>
      <c r="F32" s="9" t="inlineStr">
        <is>
          <t>R</t>
        </is>
      </c>
      <c r="G32" s="9" t="inlineStr">
        <is>
          <t>Alta</t>
        </is>
      </c>
      <c r="H32" s="9" t="inlineStr">
        <is>
          <t>No iniciada</t>
        </is>
      </c>
      <c r="I32" s="10" t="n">
        <v>2</v>
      </c>
      <c r="J32" s="9" t="inlineStr">
        <is>
          <t>S2-04</t>
        </is>
      </c>
      <c r="K32" s="9" t="inlineStr">
        <is>
          <t>Dos sesiones ven mensajes sin recargar</t>
        </is>
      </c>
      <c r="L32" s="9" t="inlineStr">
        <is>
          <t>Realtime</t>
        </is>
      </c>
    </row>
    <row r="33" ht="15.75" customHeight="1" s="15">
      <c r="A33" s="9" t="inlineStr">
        <is>
          <t>S2-06</t>
        </is>
      </c>
      <c r="B33" s="9" t="inlineStr">
        <is>
          <t>Sprint 2</t>
        </is>
      </c>
      <c r="C33" s="9" t="inlineStr">
        <is>
          <t>Negociación conversacional</t>
        </is>
      </c>
      <c r="D33" s="9" t="inlineStr">
        <is>
          <t>Construir bandeja, chat y tarjeta de propuesta</t>
        </is>
      </c>
      <c r="E33" s="9" t="inlineStr">
        <is>
          <t>D</t>
        </is>
      </c>
      <c r="F33" s="9" t="inlineStr">
        <is>
          <t>M</t>
        </is>
      </c>
      <c r="G33" s="9" t="inlineStr">
        <is>
          <t>Crítica</t>
        </is>
      </c>
      <c r="H33" s="9" t="inlineStr">
        <is>
          <t>No iniciada</t>
        </is>
      </c>
      <c r="I33" s="10" t="n">
        <v>3</v>
      </c>
      <c r="J33" s="9" t="inlineStr">
        <is>
          <t>S2-04,S1-04</t>
        </is>
      </c>
      <c r="K33" s="9" t="inlineStr">
        <is>
          <t>UI desktop/móvil y propuesta aceptable</t>
        </is>
      </c>
      <c r="L33" s="9" t="inlineStr">
        <is>
          <t>Frontend</t>
        </is>
      </c>
    </row>
    <row r="34" ht="15.75" customHeight="1" s="15">
      <c r="A34" s="9" t="inlineStr">
        <is>
          <t>S2-07</t>
        </is>
      </c>
      <c r="B34" s="9" t="inlineStr">
        <is>
          <t>Sprint 2</t>
        </is>
      </c>
      <c r="C34" s="9" t="inlineStr">
        <is>
          <t>Órdenes</t>
        </is>
      </c>
      <c r="D34" s="9" t="inlineStr">
        <is>
          <t>Crear orden desde negociación rápida o propuesta aceptada</t>
        </is>
      </c>
      <c r="E34" s="9" t="inlineStr">
        <is>
          <t>M</t>
        </is>
      </c>
      <c r="F34" s="9" t="inlineStr">
        <is>
          <t>R</t>
        </is>
      </c>
      <c r="G34" s="9" t="inlineStr">
        <is>
          <t>Crítica</t>
        </is>
      </c>
      <c r="H34" s="9" t="inlineStr">
        <is>
          <t>No iniciada</t>
        </is>
      </c>
      <c r="I34" s="10" t="n">
        <v>2</v>
      </c>
      <c r="J34" s="9" t="inlineStr">
        <is>
          <t>S2-01,S2-04</t>
        </is>
      </c>
      <c r="K34" s="9" t="inlineStr">
        <is>
          <t>Ambos flujos crean misma estructura de orden</t>
        </is>
      </c>
      <c r="L34" s="9" t="inlineStr">
        <is>
          <t>Backend</t>
        </is>
      </c>
    </row>
    <row r="35" ht="15.75" customHeight="1" s="15">
      <c r="A35" s="9" t="inlineStr">
        <is>
          <t>S2-08</t>
        </is>
      </c>
      <c r="B35" s="9" t="inlineStr">
        <is>
          <t>Sprint 2</t>
        </is>
      </c>
      <c r="C35" s="9" t="inlineStr">
        <is>
          <t>Órdenes</t>
        </is>
      </c>
      <c r="D35" s="9" t="inlineStr">
        <is>
          <t>Implementar varios productores por requerimiento</t>
        </is>
      </c>
      <c r="E35" s="9" t="inlineStr">
        <is>
          <t>M</t>
        </is>
      </c>
      <c r="F35" s="9" t="inlineStr">
        <is>
          <t>R</t>
        </is>
      </c>
      <c r="G35" s="9" t="inlineStr">
        <is>
          <t>Alta</t>
        </is>
      </c>
      <c r="H35" s="9" t="inlineStr">
        <is>
          <t>No iniciada</t>
        </is>
      </c>
      <c r="I35" s="10" t="n">
        <v>2</v>
      </c>
      <c r="J35" s="9" t="inlineStr">
        <is>
          <t>S2-07</t>
        </is>
      </c>
      <c r="K35" s="9" t="inlineStr">
        <is>
          <t>Seleccionar propuestas hasta cubrir cantidad</t>
        </is>
      </c>
      <c r="L35" s="9" t="inlineStr">
        <is>
          <t>Feature</t>
        </is>
      </c>
    </row>
    <row r="36" ht="15.75" customHeight="1" s="15">
      <c r="A36" s="9" t="inlineStr">
        <is>
          <t>S2-09</t>
        </is>
      </c>
      <c r="B36" s="9" t="inlineStr">
        <is>
          <t>Sprint 2</t>
        </is>
      </c>
      <c r="C36" s="9" t="inlineStr">
        <is>
          <t>Órdenes</t>
        </is>
      </c>
      <c r="D36" s="9" t="inlineStr">
        <is>
          <t>Construir resumen y detalle de orden</t>
        </is>
      </c>
      <c r="E36" s="9" t="inlineStr">
        <is>
          <t>D</t>
        </is>
      </c>
      <c r="F36" s="9" t="inlineStr">
        <is>
          <t>M</t>
        </is>
      </c>
      <c r="G36" s="9" t="inlineStr">
        <is>
          <t>Alta</t>
        </is>
      </c>
      <c r="H36" s="9" t="inlineStr">
        <is>
          <t>No iniciada</t>
        </is>
      </c>
      <c r="I36" s="10" t="n">
        <v>2</v>
      </c>
      <c r="J36" s="9" t="inlineStr">
        <is>
          <t>S2-07</t>
        </is>
      </c>
      <c r="K36" s="9" t="inlineStr">
        <is>
          <t>Orden muestra participantes, cantidades y estado</t>
        </is>
      </c>
      <c r="L36" s="9" t="inlineStr">
        <is>
          <t>Frontend</t>
        </is>
      </c>
    </row>
    <row r="37" ht="15.75" customHeight="1" s="15">
      <c r="A37" s="9" t="inlineStr">
        <is>
          <t>S2-10</t>
        </is>
      </c>
      <c r="B37" s="9" t="inlineStr">
        <is>
          <t>Sprint 2</t>
        </is>
      </c>
      <c r="C37" s="9" t="inlineStr">
        <is>
          <t>Logística</t>
        </is>
      </c>
      <c r="D37" s="9" t="inlineStr">
        <is>
          <t>Corregir shipment_requests, stops, cargo items y bids</t>
        </is>
      </c>
      <c r="E37" s="9" t="inlineStr">
        <is>
          <t>P</t>
        </is>
      </c>
      <c r="F37" s="9" t="inlineStr">
        <is>
          <t>R</t>
        </is>
      </c>
      <c r="G37" s="9" t="inlineStr">
        <is>
          <t>Crítica</t>
        </is>
      </c>
      <c r="H37" s="9" t="inlineStr">
        <is>
          <t>No iniciada</t>
        </is>
      </c>
      <c r="I37" s="10" t="n">
        <v>2</v>
      </c>
      <c r="J37" s="9" t="inlineStr">
        <is>
          <t>S1-11,S1-02</t>
        </is>
      </c>
      <c r="K37" s="9" t="inlineStr">
        <is>
          <t>Múltiples recojos y un destino válidos</t>
        </is>
      </c>
      <c r="L37" s="9" t="inlineStr">
        <is>
          <t>Migration</t>
        </is>
      </c>
    </row>
    <row r="38" ht="15.75" customHeight="1" s="15">
      <c r="A38" s="9" t="inlineStr">
        <is>
          <t>S2-11</t>
        </is>
      </c>
      <c r="B38" s="9" t="inlineStr">
        <is>
          <t>Sprint 2</t>
        </is>
      </c>
      <c r="C38" s="9" t="inlineStr">
        <is>
          <t>Logística</t>
        </is>
      </c>
      <c r="D38" s="9" t="inlineStr">
        <is>
          <t>Crear solicitud de transporte desde una orden</t>
        </is>
      </c>
      <c r="E38" s="9" t="inlineStr">
        <is>
          <t>P</t>
        </is>
      </c>
      <c r="F38" s="9" t="inlineStr">
        <is>
          <t>M</t>
        </is>
      </c>
      <c r="G38" s="9" t="inlineStr">
        <is>
          <t>Crítica</t>
        </is>
      </c>
      <c r="H38" s="9" t="inlineStr">
        <is>
          <t>No iniciada</t>
        </is>
      </c>
      <c r="I38" s="10" t="n">
        <v>2</v>
      </c>
      <c r="J38" s="9" t="inlineStr">
        <is>
          <t>S2-10,S2-07</t>
        </is>
      </c>
      <c r="K38" s="9" t="inlineStr">
        <is>
          <t>Genera paradas y carga a partir de la orden</t>
        </is>
      </c>
      <c r="L38" s="9" t="inlineStr">
        <is>
          <t>Backend</t>
        </is>
      </c>
    </row>
    <row r="39" ht="15.75" customHeight="1" s="15">
      <c r="A39" s="9" t="inlineStr">
        <is>
          <t>S2-12</t>
        </is>
      </c>
      <c r="B39" s="9" t="inlineStr">
        <is>
          <t>Sprint 2</t>
        </is>
      </c>
      <c r="C39" s="9" t="inlineStr">
        <is>
          <t>Logística</t>
        </is>
      </c>
      <c r="D39" s="9" t="inlineStr">
        <is>
          <t>Implementar marketplace de cargas y detalle</t>
        </is>
      </c>
      <c r="E39" s="9" t="inlineStr">
        <is>
          <t>P</t>
        </is>
      </c>
      <c r="F39" s="9" t="inlineStr">
        <is>
          <t>D</t>
        </is>
      </c>
      <c r="G39" s="9" t="inlineStr">
        <is>
          <t>Crítica</t>
        </is>
      </c>
      <c r="H39" s="9" t="inlineStr">
        <is>
          <t>No iniciada</t>
        </is>
      </c>
      <c r="I39" s="10" t="n">
        <v>2</v>
      </c>
      <c r="J39" s="9" t="inlineStr">
        <is>
          <t>S2-11,S1-13</t>
        </is>
      </c>
      <c r="K39" s="9" t="inlineStr">
        <is>
          <t>Transportista explora cargas y abre detalle</t>
        </is>
      </c>
      <c r="L39" s="9" t="inlineStr">
        <is>
          <t>Feature</t>
        </is>
      </c>
    </row>
    <row r="40" ht="15.75" customHeight="1" s="15">
      <c r="A40" s="9" t="inlineStr">
        <is>
          <t>S2-13</t>
        </is>
      </c>
      <c r="B40" s="9" t="inlineStr">
        <is>
          <t>Sprint 2</t>
        </is>
      </c>
      <c r="C40" s="9" t="inlineStr">
        <is>
          <t>Logística</t>
        </is>
      </c>
      <c r="D40" s="9" t="inlineStr">
        <is>
          <t>Implementar oferta de flete y selección de transportista</t>
        </is>
      </c>
      <c r="E40" s="9" t="inlineStr">
        <is>
          <t>P</t>
        </is>
      </c>
      <c r="F40" s="9" t="inlineStr">
        <is>
          <t>M</t>
        </is>
      </c>
      <c r="G40" s="9" t="inlineStr">
        <is>
          <t>Crítica</t>
        </is>
      </c>
      <c r="H40" s="9" t="inlineStr">
        <is>
          <t>No iniciada</t>
        </is>
      </c>
      <c r="I40" s="10" t="n">
        <v>2</v>
      </c>
      <c r="J40" s="9" t="inlineStr">
        <is>
          <t>S2-12</t>
        </is>
      </c>
      <c r="K40" s="9" t="inlineStr">
        <is>
          <t>Solicitante compara y acepta una oferta</t>
        </is>
      </c>
      <c r="L40" s="9" t="inlineStr">
        <is>
          <t>Feature</t>
        </is>
      </c>
    </row>
    <row r="41" ht="15.75" customHeight="1" s="15">
      <c r="A41" s="9" t="inlineStr">
        <is>
          <t>S2-14</t>
        </is>
      </c>
      <c r="B41" s="9" t="inlineStr">
        <is>
          <t>Sprint 2</t>
        </is>
      </c>
      <c r="C41" s="9" t="inlineStr">
        <is>
          <t>Frontend</t>
        </is>
      </c>
      <c r="D41" s="9" t="inlineStr">
        <is>
          <t>Construir selector de modalidad logística y comparador de ofertas</t>
        </is>
      </c>
      <c r="E41" s="9" t="inlineStr">
        <is>
          <t>D</t>
        </is>
      </c>
      <c r="F41" s="9" t="inlineStr">
        <is>
          <t>P</t>
        </is>
      </c>
      <c r="G41" s="9" t="inlineStr">
        <is>
          <t>Alta</t>
        </is>
      </c>
      <c r="H41" s="9" t="inlineStr">
        <is>
          <t>No iniciada</t>
        </is>
      </c>
      <c r="I41" s="10" t="n">
        <v>2</v>
      </c>
      <c r="J41" s="9" t="inlineStr">
        <is>
          <t>S2-11,S2-13</t>
        </is>
      </c>
      <c r="K41" s="9" t="inlineStr">
        <is>
          <t>Tres modalidades y comparación legible</t>
        </is>
      </c>
      <c r="L41" s="9" t="inlineStr">
        <is>
          <t>Frontend</t>
        </is>
      </c>
    </row>
    <row r="42" ht="15.75" customHeight="1" s="15">
      <c r="A42" s="9" t="inlineStr">
        <is>
          <t>S3-01</t>
        </is>
      </c>
      <c r="B42" s="9" t="inlineStr">
        <is>
          <t>Sprint 3</t>
        </is>
      </c>
      <c r="C42" s="9" t="inlineStr">
        <is>
          <t>Precios</t>
        </is>
      </c>
      <c r="D42" s="9" t="inlineStr">
        <is>
          <t>Implementar algoritmo inicial de rango sugerido con datos históricos</t>
        </is>
      </c>
      <c r="E42" s="9" t="inlineStr">
        <is>
          <t>P</t>
        </is>
      </c>
      <c r="F42" s="9" t="inlineStr">
        <is>
          <t>M</t>
        </is>
      </c>
      <c r="G42" s="9" t="inlineStr">
        <is>
          <t>Crítica</t>
        </is>
      </c>
      <c r="H42" s="9" t="inlineStr">
        <is>
          <t>No iniciada</t>
        </is>
      </c>
      <c r="I42" s="10" t="n">
        <v>2</v>
      </c>
      <c r="J42" s="9" t="inlineStr">
        <is>
          <t>S1-14</t>
        </is>
      </c>
      <c r="K42" s="9" t="inlineStr">
        <is>
          <t>Devuelve bajo, medio, alto, confianza y explicación</t>
        </is>
      </c>
      <c r="L42" s="9" t="inlineStr">
        <is>
          <t>Service</t>
        </is>
      </c>
    </row>
    <row r="43" ht="15.75" customHeight="1" s="15">
      <c r="A43" s="9" t="inlineStr">
        <is>
          <t>S3-02</t>
        </is>
      </c>
      <c r="B43" s="9" t="inlineStr">
        <is>
          <t>Sprint 3</t>
        </is>
      </c>
      <c r="C43" s="9" t="inlineStr">
        <is>
          <t>Precios</t>
        </is>
      </c>
      <c r="D43" s="9" t="inlineStr">
        <is>
          <t>Integrar rango sugerido en ofertas, requerimientos y negociación</t>
        </is>
      </c>
      <c r="E43" s="9" t="inlineStr">
        <is>
          <t>M</t>
        </is>
      </c>
      <c r="F43" s="9" t="inlineStr">
        <is>
          <t>D</t>
        </is>
      </c>
      <c r="G43" s="9" t="inlineStr">
        <is>
          <t>Crítica</t>
        </is>
      </c>
      <c r="H43" s="9" t="inlineStr">
        <is>
          <t>No iniciada</t>
        </is>
      </c>
      <c r="I43" s="10" t="n">
        <v>2</v>
      </c>
      <c r="J43" s="9" t="inlineStr">
        <is>
          <t>S3-01,S2-03</t>
        </is>
      </c>
      <c r="K43" s="9" t="inlineStr">
        <is>
          <t>El precio sigue siendo editable y no obligatorio</t>
        </is>
      </c>
      <c r="L43" s="9" t="inlineStr">
        <is>
          <t>Feature</t>
        </is>
      </c>
    </row>
    <row r="44" ht="15.75" customHeight="1" s="15">
      <c r="A44" s="9" t="inlineStr">
        <is>
          <t>S3-03</t>
        </is>
      </c>
      <c r="B44" s="9" t="inlineStr">
        <is>
          <t>Sprint 3</t>
        </is>
      </c>
      <c r="C44" s="9" t="inlineStr">
        <is>
          <t>Riesgo</t>
        </is>
      </c>
      <c r="D44" s="9" t="inlineStr">
        <is>
          <t>Crear datos semilla y panel manual de eventos de riesgo</t>
        </is>
      </c>
      <c r="E44" s="9" t="inlineStr">
        <is>
          <t>P</t>
        </is>
      </c>
      <c r="F44" s="9" t="inlineStr">
        <is>
          <t>D</t>
        </is>
      </c>
      <c r="G44" s="9" t="inlineStr">
        <is>
          <t>Crítica</t>
        </is>
      </c>
      <c r="H44" s="9" t="inlineStr">
        <is>
          <t>No iniciada</t>
        </is>
      </c>
      <c r="I44" s="10" t="n">
        <v>2</v>
      </c>
      <c r="J44" s="9" t="inlineStr">
        <is>
          <t>S0-09,S1-14</t>
        </is>
      </c>
      <c r="K44" s="9" t="inlineStr">
        <is>
          <t>Admin crea, confirma y resuelve eventos</t>
        </is>
      </c>
      <c r="L44" s="9" t="inlineStr">
        <is>
          <t>Feature</t>
        </is>
      </c>
    </row>
    <row r="45" ht="15.75" customHeight="1" s="15">
      <c r="A45" s="9" t="inlineStr">
        <is>
          <t>S3-04</t>
        </is>
      </c>
      <c r="B45" s="9" t="inlineStr">
        <is>
          <t>Sprint 3</t>
        </is>
      </c>
      <c r="C45" s="9" t="inlineStr">
        <is>
          <t>Riesgo</t>
        </is>
      </c>
      <c r="D45" s="9" t="inlineStr">
        <is>
          <t>Implementar cálculo de riesgo, confianza y vigencia</t>
        </is>
      </c>
      <c r="E45" s="9" t="inlineStr">
        <is>
          <t>P</t>
        </is>
      </c>
      <c r="F45" s="9" t="inlineStr">
        <is>
          <t>R</t>
        </is>
      </c>
      <c r="G45" s="9" t="inlineStr">
        <is>
          <t>Crítica</t>
        </is>
      </c>
      <c r="H45" s="9" t="inlineStr">
        <is>
          <t>No iniciada</t>
        </is>
      </c>
      <c r="I45" s="10" t="n">
        <v>2</v>
      </c>
      <c r="J45" s="9" t="inlineStr">
        <is>
          <t>S3-03,S1-13</t>
        </is>
      </c>
      <c r="K45" s="9" t="inlineStr">
        <is>
          <t>Puntaje 0-100 con explicación reproducible</t>
        </is>
      </c>
      <c r="L45" s="9" t="inlineStr">
        <is>
          <t>Service</t>
        </is>
      </c>
    </row>
    <row r="46" ht="15.75" customHeight="1" s="15">
      <c r="A46" s="9" t="inlineStr">
        <is>
          <t>S3-05</t>
        </is>
      </c>
      <c r="B46" s="9" t="inlineStr">
        <is>
          <t>Sprint 3</t>
        </is>
      </c>
      <c r="C46" s="9" t="inlineStr">
        <is>
          <t>Riesgo</t>
        </is>
      </c>
      <c r="D46" s="9" t="inlineStr">
        <is>
          <t>Integrar eventos con ruta usando Turf.js</t>
        </is>
      </c>
      <c r="E46" s="9" t="inlineStr">
        <is>
          <t>P</t>
        </is>
      </c>
      <c r="F46" s="9" t="inlineStr">
        <is>
          <t>R</t>
        </is>
      </c>
      <c r="G46" s="9" t="inlineStr">
        <is>
          <t>Alta</t>
        </is>
      </c>
      <c r="H46" s="9" t="inlineStr">
        <is>
          <t>No iniciada</t>
        </is>
      </c>
      <c r="I46" s="10" t="n">
        <v>2</v>
      </c>
      <c r="J46" s="9" t="inlineStr">
        <is>
          <t>S3-04,S1-13,S2-11</t>
        </is>
      </c>
      <c r="K46" s="9" t="inlineStr">
        <is>
          <t>Solo eventos cercanos afectan la ruta</t>
        </is>
      </c>
      <c r="L46" s="9" t="inlineStr">
        <is>
          <t>Map logic</t>
        </is>
      </c>
    </row>
    <row r="47" ht="15.75" customHeight="1" s="15">
      <c r="A47" s="9" t="inlineStr">
        <is>
          <t>S3-06</t>
        </is>
      </c>
      <c r="B47" s="9" t="inlineStr">
        <is>
          <t>Sprint 3</t>
        </is>
      </c>
      <c r="C47" s="9" t="inlineStr">
        <is>
          <t>IA</t>
        </is>
      </c>
      <c r="D47" s="9" t="inlineStr">
        <is>
          <t>Implementar OpenAI Responses API para extraer eventos de noticias</t>
        </is>
      </c>
      <c r="E47" s="9" t="inlineStr">
        <is>
          <t>P</t>
        </is>
      </c>
      <c r="F47" s="9" t="inlineStr">
        <is>
          <t>R</t>
        </is>
      </c>
      <c r="G47" s="9" t="inlineStr">
        <is>
          <t>Alta</t>
        </is>
      </c>
      <c r="H47" s="9" t="inlineStr">
        <is>
          <t>No iniciada</t>
        </is>
      </c>
      <c r="I47" s="10" t="n">
        <v>2</v>
      </c>
      <c r="J47" s="9" t="inlineStr">
        <is>
          <t>S0-09</t>
        </is>
      </c>
      <c r="K47" s="9" t="inlineStr">
        <is>
          <t>Salida estructurada; no usa Gemini</t>
        </is>
      </c>
      <c r="L47" s="9" t="inlineStr">
        <is>
          <t>AI</t>
        </is>
      </c>
    </row>
    <row r="48" ht="15.75" customHeight="1" s="15">
      <c r="A48" s="9" t="inlineStr">
        <is>
          <t>S3-07</t>
        </is>
      </c>
      <c r="B48" s="9" t="inlineStr">
        <is>
          <t>Sprint 3</t>
        </is>
      </c>
      <c r="C48" s="9" t="inlineStr">
        <is>
          <t>IA</t>
        </is>
      </c>
      <c r="D48" s="9" t="inlineStr">
        <is>
          <t>Crear caché, timeout y fallback manual para análisis</t>
        </is>
      </c>
      <c r="E48" s="9" t="inlineStr">
        <is>
          <t>R</t>
        </is>
      </c>
      <c r="F48" s="9" t="inlineStr">
        <is>
          <t>P</t>
        </is>
      </c>
      <c r="G48" s="9" t="inlineStr">
        <is>
          <t>Crítica</t>
        </is>
      </c>
      <c r="H48" s="9" t="inlineStr">
        <is>
          <t>No iniciada</t>
        </is>
      </c>
      <c r="I48" s="10" t="n">
        <v>2</v>
      </c>
      <c r="J48" s="9" t="inlineStr">
        <is>
          <t>S3-06</t>
        </is>
      </c>
      <c r="K48" s="9" t="inlineStr">
        <is>
          <t>Demo funciona aunque OpenAI o búsqueda fallen</t>
        </is>
      </c>
      <c r="L48" s="9" t="inlineStr">
        <is>
          <t>Reliability</t>
        </is>
      </c>
    </row>
    <row r="49" ht="15.75" customHeight="1" s="15">
      <c r="A49" s="9" t="inlineStr">
        <is>
          <t>S3-08</t>
        </is>
      </c>
      <c r="B49" s="9" t="inlineStr">
        <is>
          <t>Sprint 3</t>
        </is>
      </c>
      <c r="C49" s="9" t="inlineStr">
        <is>
          <t>Riesgo UI</t>
        </is>
      </c>
      <c r="D49" s="9" t="inlineStr">
        <is>
          <t>Construir badges, desglose y pantalla de riesgo</t>
        </is>
      </c>
      <c r="E49" s="9" t="inlineStr">
        <is>
          <t>D</t>
        </is>
      </c>
      <c r="F49" s="9" t="inlineStr">
        <is>
          <t>P</t>
        </is>
      </c>
      <c r="G49" s="9" t="inlineStr">
        <is>
          <t>Crítica</t>
        </is>
      </c>
      <c r="H49" s="9" t="inlineStr">
        <is>
          <t>No iniciada</t>
        </is>
      </c>
      <c r="I49" s="10" t="n">
        <v>2</v>
      </c>
      <c r="J49" s="9" t="inlineStr">
        <is>
          <t>S3-04,S3-05</t>
        </is>
      </c>
      <c r="K49" s="9" t="inlineStr">
        <is>
          <t>Muestra riesgo, confianza, vigencia, fuentes e impacto</t>
        </is>
      </c>
      <c r="L49" s="9" t="inlineStr">
        <is>
          <t>Frontend</t>
        </is>
      </c>
    </row>
    <row r="50" ht="15.75" customHeight="1" s="15">
      <c r="A50" s="9" t="inlineStr">
        <is>
          <t>S3-09</t>
        </is>
      </c>
      <c r="B50" s="9" t="inlineStr">
        <is>
          <t>Sprint 3</t>
        </is>
      </c>
      <c r="C50" s="9" t="inlineStr">
        <is>
          <t>Viajes</t>
        </is>
      </c>
      <c r="D50" s="9" t="inlineStr">
        <is>
          <t>Implementar estados del viaje y timeline</t>
        </is>
      </c>
      <c r="E50" s="9" t="inlineStr">
        <is>
          <t>P</t>
        </is>
      </c>
      <c r="F50" s="9" t="inlineStr">
        <is>
          <t>D</t>
        </is>
      </c>
      <c r="G50" s="9" t="inlineStr">
        <is>
          <t>Alta</t>
        </is>
      </c>
      <c r="H50" s="9" t="inlineStr">
        <is>
          <t>No iniciada</t>
        </is>
      </c>
      <c r="I50" s="10" t="n">
        <v>2</v>
      </c>
      <c r="J50" s="9" t="inlineStr">
        <is>
          <t>S2-13</t>
        </is>
      </c>
      <c r="K50" s="9" t="inlineStr">
        <is>
          <t>Transportista actualiza y partes ven timeline</t>
        </is>
      </c>
      <c r="L50" s="9" t="inlineStr">
        <is>
          <t>Feature</t>
        </is>
      </c>
    </row>
    <row r="51" ht="15.75" customHeight="1" s="15">
      <c r="A51" s="9" t="inlineStr">
        <is>
          <t>S3-10</t>
        </is>
      </c>
      <c r="B51" s="9" t="inlineStr">
        <is>
          <t>Sprint 3</t>
        </is>
      </c>
      <c r="C51" s="9" t="inlineStr">
        <is>
          <t>Evidencias</t>
        </is>
      </c>
      <c r="D51" s="9" t="inlineStr">
        <is>
          <t>Implementar carga de fotos, peso y confirmación de entrega</t>
        </is>
      </c>
      <c r="E51" s="9" t="inlineStr">
        <is>
          <t>M</t>
        </is>
      </c>
      <c r="F51" s="9" t="inlineStr">
        <is>
          <t>R</t>
        </is>
      </c>
      <c r="G51" s="9" t="inlineStr">
        <is>
          <t>Alta</t>
        </is>
      </c>
      <c r="H51" s="9" t="inlineStr">
        <is>
          <t>No iniciada</t>
        </is>
      </c>
      <c r="I51" s="10" t="n">
        <v>2</v>
      </c>
      <c r="J51" s="9" t="inlineStr">
        <is>
          <t>S3-09</t>
        </is>
      </c>
      <c r="K51" s="9" t="inlineStr">
        <is>
          <t>Storage protegido y evidencias asociadas al viaje</t>
        </is>
      </c>
      <c r="L51" s="9" t="inlineStr">
        <is>
          <t>Feature</t>
        </is>
      </c>
    </row>
    <row r="52" ht="15.75" customHeight="1" s="15">
      <c r="A52" s="9" t="inlineStr">
        <is>
          <t>S3-11</t>
        </is>
      </c>
      <c r="B52" s="9" t="inlineStr">
        <is>
          <t>Sprint 3</t>
        </is>
      </c>
      <c r="C52" s="9" t="inlineStr">
        <is>
          <t>Integración</t>
        </is>
      </c>
      <c r="D52" s="9" t="inlineStr">
        <is>
          <t>Integrar flujo completo marketplace → orden → transporte → entrega</t>
        </is>
      </c>
      <c r="E52" s="9" t="inlineStr">
        <is>
          <t>R</t>
        </is>
      </c>
      <c r="F52" s="9" t="inlineStr">
        <is>
          <t>M</t>
        </is>
      </c>
      <c r="G52" s="9" t="inlineStr">
        <is>
          <t>Crítica</t>
        </is>
      </c>
      <c r="H52" s="9" t="inlineStr">
        <is>
          <t>No iniciada</t>
        </is>
      </c>
      <c r="I52" s="10" t="n">
        <v>3</v>
      </c>
      <c r="J52" s="9" t="inlineStr">
        <is>
          <t>S2-07,S2-13,S3-04,S3-09</t>
        </is>
      </c>
      <c r="K52" s="9" t="inlineStr">
        <is>
          <t>Flujo E2E funciona con datos reales</t>
        </is>
      </c>
      <c r="L52" s="9" t="inlineStr">
        <is>
          <t>Integration</t>
        </is>
      </c>
    </row>
    <row r="53" ht="15.75" customHeight="1" s="15">
      <c r="A53" s="9" t="inlineStr">
        <is>
          <t>S3-12</t>
        </is>
      </c>
      <c r="B53" s="9" t="inlineStr">
        <is>
          <t>Sprint 3</t>
        </is>
      </c>
      <c r="C53" s="9" t="inlineStr">
        <is>
          <t>Diseño</t>
        </is>
      </c>
      <c r="D53" s="9" t="inlineStr">
        <is>
          <t>Aplicar imágenes reales, estados vacíos, loading, error y offline</t>
        </is>
      </c>
      <c r="E53" s="9" t="inlineStr">
        <is>
          <t>D</t>
        </is>
      </c>
      <c r="F53" s="9" t="inlineStr">
        <is>
          <t>P</t>
        </is>
      </c>
      <c r="G53" s="9" t="inlineStr">
        <is>
          <t>Alta</t>
        </is>
      </c>
      <c r="H53" s="9" t="inlineStr">
        <is>
          <t>No iniciada</t>
        </is>
      </c>
      <c r="I53" s="10" t="n">
        <v>2</v>
      </c>
      <c r="J53" s="9" t="inlineStr">
        <is>
          <t>S1-10,S2-06,S3-08</t>
        </is>
      </c>
      <c r="K53" s="9" t="inlineStr">
        <is>
          <t>Todas las pantallas críticas tienen estados</t>
        </is>
      </c>
      <c r="L53" s="9" t="inlineStr">
        <is>
          <t>Polish</t>
        </is>
      </c>
    </row>
    <row r="54" ht="15.75" customHeight="1" s="15">
      <c r="A54" s="9" t="inlineStr">
        <is>
          <t>S3-13</t>
        </is>
      </c>
      <c r="B54" s="9" t="inlineStr">
        <is>
          <t>Sprint 3</t>
        </is>
      </c>
      <c r="C54" s="9" t="inlineStr">
        <is>
          <t>Administración</t>
        </is>
      </c>
      <c r="D54" s="9" t="inlineStr">
        <is>
          <t>Crear panel admin mínimo para usuarios, precios y eventos</t>
        </is>
      </c>
      <c r="E54" s="9" t="inlineStr">
        <is>
          <t>D</t>
        </is>
      </c>
      <c r="F54" s="9" t="inlineStr">
        <is>
          <t>R</t>
        </is>
      </c>
      <c r="G54" s="9" t="inlineStr">
        <is>
          <t>Media</t>
        </is>
      </c>
      <c r="H54" s="9" t="inlineStr">
        <is>
          <t>No iniciada</t>
        </is>
      </c>
      <c r="I54" s="10" t="n">
        <v>2</v>
      </c>
      <c r="J54" s="9" t="inlineStr">
        <is>
          <t>S3-03,S3-01</t>
        </is>
      </c>
      <c r="K54" s="9" t="inlineStr">
        <is>
          <t>Admin puede operar demo sin SQL</t>
        </is>
      </c>
      <c r="L54" s="9" t="inlineStr">
        <is>
          <t>Admin</t>
        </is>
      </c>
    </row>
    <row r="55" ht="15.75" customHeight="1" s="15">
      <c r="A55" s="9" t="inlineStr">
        <is>
          <t>S3-14</t>
        </is>
      </c>
      <c r="B55" s="9" t="inlineStr">
        <is>
          <t>Sprint 3</t>
        </is>
      </c>
      <c r="C55" s="9" t="inlineStr">
        <is>
          <t>Seguridad</t>
        </is>
      </c>
      <c r="D55" s="9" t="inlineStr">
        <is>
          <t>Revisión completa de RLS, endpoints y exposición del mínimo privado</t>
        </is>
      </c>
      <c r="E55" s="9" t="inlineStr">
        <is>
          <t>R</t>
        </is>
      </c>
      <c r="F55" s="9" t="inlineStr">
        <is>
          <t>M</t>
        </is>
      </c>
      <c r="G55" s="9" t="inlineStr">
        <is>
          <t>Crítica</t>
        </is>
      </c>
      <c r="H55" s="9" t="inlineStr">
        <is>
          <t>No iniciada</t>
        </is>
      </c>
      <c r="I55" s="10" t="n">
        <v>2</v>
      </c>
      <c r="J55" s="9" t="inlineStr">
        <is>
          <t>S3-11</t>
        </is>
      </c>
      <c r="K55" s="9" t="inlineStr">
        <is>
          <t>Pruebas negativas documentadas y superadas</t>
        </is>
      </c>
      <c r="L55" s="9" t="inlineStr">
        <is>
          <t>Security</t>
        </is>
      </c>
    </row>
    <row r="56" ht="15.75" customHeight="1" s="15">
      <c r="A56" s="9" t="inlineStr">
        <is>
          <t>S4-01</t>
        </is>
      </c>
      <c r="B56" s="9" t="inlineStr">
        <is>
          <t>Sprint 4</t>
        </is>
      </c>
      <c r="C56" s="9" t="inlineStr">
        <is>
          <t>QA</t>
        </is>
      </c>
      <c r="D56" s="9" t="inlineStr">
        <is>
          <t>Crear pruebas unitarias para negociación, reservas, precio y riesgo</t>
        </is>
      </c>
      <c r="E56" s="9" t="inlineStr">
        <is>
          <t>R</t>
        </is>
      </c>
      <c r="F56" s="9" t="inlineStr">
        <is>
          <t>P</t>
        </is>
      </c>
      <c r="G56" s="9" t="inlineStr">
        <is>
          <t>Crítica</t>
        </is>
      </c>
      <c r="H56" s="9" t="inlineStr">
        <is>
          <t>No iniciada</t>
        </is>
      </c>
      <c r="I56" s="10" t="n">
        <v>2</v>
      </c>
      <c r="J56" s="9" t="inlineStr">
        <is>
          <t>S3-14,S3-04,S3-01</t>
        </is>
      </c>
      <c r="K56" s="9" t="inlineStr">
        <is>
          <t>Casos críticos pasan en CI</t>
        </is>
      </c>
      <c r="L56" s="9" t="inlineStr">
        <is>
          <t>Tests</t>
        </is>
      </c>
    </row>
    <row r="57" ht="15.75" customHeight="1" s="15">
      <c r="A57" s="9" t="inlineStr">
        <is>
          <t>S4-02</t>
        </is>
      </c>
      <c r="B57" s="9" t="inlineStr">
        <is>
          <t>Sprint 4</t>
        </is>
      </c>
      <c r="C57" s="9" t="inlineStr">
        <is>
          <t>QA</t>
        </is>
      </c>
      <c r="D57" s="9" t="inlineStr">
        <is>
          <t>Ejecutar pruebas E2E manuales por rol</t>
        </is>
      </c>
      <c r="E57" s="9" t="inlineStr">
        <is>
          <t>M</t>
        </is>
      </c>
      <c r="F57" s="9" t="inlineStr">
        <is>
          <t>D</t>
        </is>
      </c>
      <c r="G57" s="9" t="inlineStr">
        <is>
          <t>Crítica</t>
        </is>
      </c>
      <c r="H57" s="9" t="inlineStr">
        <is>
          <t>No iniciada</t>
        </is>
      </c>
      <c r="I57" s="10" t="n">
        <v>2</v>
      </c>
      <c r="J57" s="9" t="inlineStr">
        <is>
          <t>S3-11</t>
        </is>
      </c>
      <c r="K57" s="9" t="inlineStr">
        <is>
          <t>Checklist completo sin bloqueantes</t>
        </is>
      </c>
      <c r="L57" s="9" t="inlineStr">
        <is>
          <t>QA</t>
        </is>
      </c>
    </row>
    <row r="58" ht="15.75" customHeight="1" s="15">
      <c r="A58" s="9" t="inlineStr">
        <is>
          <t>S4-03</t>
        </is>
      </c>
      <c r="B58" s="9" t="inlineStr">
        <is>
          <t>Sprint 4</t>
        </is>
      </c>
      <c r="C58" s="9" t="inlineStr">
        <is>
          <t>Datos demo</t>
        </is>
      </c>
      <c r="D58" s="9" t="inlineStr">
        <is>
          <t>Cargar escenario principal y escenario alternativo</t>
        </is>
      </c>
      <c r="E58" s="9" t="inlineStr">
        <is>
          <t>M</t>
        </is>
      </c>
      <c r="F58" s="9" t="inlineStr">
        <is>
          <t>P</t>
        </is>
      </c>
      <c r="G58" s="9" t="inlineStr">
        <is>
          <t>Alta</t>
        </is>
      </c>
      <c r="H58" s="9" t="inlineStr">
        <is>
          <t>No iniciada</t>
        </is>
      </c>
      <c r="I58" s="10" t="n">
        <v>2</v>
      </c>
      <c r="J58" s="9" t="inlineStr">
        <is>
          <t>S3-11,S1-14</t>
        </is>
      </c>
      <c r="K58" s="9" t="inlineStr">
        <is>
          <t>Dos demos reproducibles desde cuentas preparadas</t>
        </is>
      </c>
      <c r="L58" s="9" t="inlineStr">
        <is>
          <t>Demo</t>
        </is>
      </c>
    </row>
    <row r="59" ht="15.75" customHeight="1" s="15">
      <c r="A59" s="9" t="inlineStr">
        <is>
          <t>S4-04</t>
        </is>
      </c>
      <c r="B59" s="9" t="inlineStr">
        <is>
          <t>Sprint 4</t>
        </is>
      </c>
      <c r="C59" s="9" t="inlineStr">
        <is>
          <t>UX</t>
        </is>
      </c>
      <c r="D59" s="9" t="inlineStr">
        <is>
          <t>Realizar QA visual responsive y accesibilidad básica</t>
        </is>
      </c>
      <c r="E59" s="9" t="inlineStr">
        <is>
          <t>D</t>
        </is>
      </c>
      <c r="F59" s="9" t="inlineStr">
        <is>
          <t>M</t>
        </is>
      </c>
      <c r="G59" s="9" t="inlineStr">
        <is>
          <t>Alta</t>
        </is>
      </c>
      <c r="H59" s="9" t="inlineStr">
        <is>
          <t>No iniciada</t>
        </is>
      </c>
      <c r="I59" s="10" t="n">
        <v>2</v>
      </c>
      <c r="J59" s="9" t="inlineStr">
        <is>
          <t>S3-12</t>
        </is>
      </c>
      <c r="K59" s="9" t="inlineStr">
        <is>
          <t>390, 1024 y 1440 px sin errores graves</t>
        </is>
      </c>
      <c r="L59" s="9" t="inlineStr">
        <is>
          <t>Visual QA</t>
        </is>
      </c>
    </row>
    <row r="60" ht="15.75" customHeight="1" s="15">
      <c r="A60" s="9" t="inlineStr">
        <is>
          <t>S4-05</t>
        </is>
      </c>
      <c r="B60" s="9" t="inlineStr">
        <is>
          <t>Sprint 4</t>
        </is>
      </c>
      <c r="C60" s="9" t="inlineStr">
        <is>
          <t>Rendimiento</t>
        </is>
      </c>
      <c r="D60" s="9" t="inlineStr">
        <is>
          <t>Optimizar consultas, índices, imágenes y carga inicial</t>
        </is>
      </c>
      <c r="E60" s="9" t="inlineStr">
        <is>
          <t>D</t>
        </is>
      </c>
      <c r="F60" s="9" t="inlineStr">
        <is>
          <t>R</t>
        </is>
      </c>
      <c r="G60" s="9" t="inlineStr">
        <is>
          <t>Alta</t>
        </is>
      </c>
      <c r="H60" s="9" t="inlineStr">
        <is>
          <t>No iniciada</t>
        </is>
      </c>
      <c r="I60" s="10" t="n">
        <v>2</v>
      </c>
      <c r="J60" s="9" t="inlineStr">
        <is>
          <t>S3-11</t>
        </is>
      </c>
      <c r="K60" s="9" t="inlineStr">
        <is>
          <t>Pantallas críticas responden fluidamente</t>
        </is>
      </c>
      <c r="L60" s="9" t="inlineStr">
        <is>
          <t>Performance</t>
        </is>
      </c>
    </row>
    <row r="61" ht="15.75" customHeight="1" s="15">
      <c r="A61" s="9" t="inlineStr">
        <is>
          <t>S4-06</t>
        </is>
      </c>
      <c r="B61" s="9" t="inlineStr">
        <is>
          <t>Sprint 4</t>
        </is>
      </c>
      <c r="C61" s="9" t="inlineStr">
        <is>
          <t>Confiabilidad</t>
        </is>
      </c>
      <c r="D61" s="9" t="inlineStr">
        <is>
          <t>Preparar respuestas de IA cacheadas y rutas guardadas</t>
        </is>
      </c>
      <c r="E61" s="9" t="inlineStr">
        <is>
          <t>P</t>
        </is>
      </c>
      <c r="F61" s="9" t="inlineStr">
        <is>
          <t>R</t>
        </is>
      </c>
      <c r="G61" s="9" t="inlineStr">
        <is>
          <t>Crítica</t>
        </is>
      </c>
      <c r="H61" s="9" t="inlineStr">
        <is>
          <t>No iniciada</t>
        </is>
      </c>
      <c r="I61" s="10" t="n">
        <v>2</v>
      </c>
      <c r="J61" s="9" t="inlineStr">
        <is>
          <t>S3-07,S3-05</t>
        </is>
      </c>
      <c r="K61" s="9" t="inlineStr">
        <is>
          <t>Pitch no depende de servicios externos</t>
        </is>
      </c>
      <c r="L61" s="9" t="inlineStr">
        <is>
          <t>Fallback</t>
        </is>
      </c>
    </row>
    <row r="62" ht="15.75" customHeight="1" s="15">
      <c r="A62" s="9" t="inlineStr">
        <is>
          <t>S4-07</t>
        </is>
      </c>
      <c r="B62" s="9" t="inlineStr">
        <is>
          <t>Sprint 4</t>
        </is>
      </c>
      <c r="C62" s="9" t="inlineStr">
        <is>
          <t>Deploy</t>
        </is>
      </c>
      <c r="D62" s="9" t="inlineStr">
        <is>
          <t>Ejecutar migraciones limpias en producción y configurar secretos</t>
        </is>
      </c>
      <c r="E62" s="9" t="inlineStr">
        <is>
          <t>R</t>
        </is>
      </c>
      <c r="F62" s="9" t="inlineStr">
        <is>
          <t>P</t>
        </is>
      </c>
      <c r="G62" s="9" t="inlineStr">
        <is>
          <t>Crítica</t>
        </is>
      </c>
      <c r="H62" s="9" t="inlineStr">
        <is>
          <t>No iniciada</t>
        </is>
      </c>
      <c r="I62" s="10" t="n">
        <v>2</v>
      </c>
      <c r="J62" s="9" t="inlineStr">
        <is>
          <t>S4-01,S4-05</t>
        </is>
      </c>
      <c r="K62" s="9" t="inlineStr">
        <is>
          <t>Deploy estable y variables verificadas</t>
        </is>
      </c>
      <c r="L62" s="9" t="inlineStr">
        <is>
          <t>Production</t>
        </is>
      </c>
    </row>
    <row r="63" ht="15.75" customHeight="1" s="15">
      <c r="A63" s="9" t="inlineStr">
        <is>
          <t>S4-08</t>
        </is>
      </c>
      <c r="B63" s="9" t="inlineStr">
        <is>
          <t>Sprint 4</t>
        </is>
      </c>
      <c r="C63" s="9" t="inlineStr">
        <is>
          <t>Presentación</t>
        </is>
      </c>
      <c r="D63" s="9" t="inlineStr">
        <is>
          <t>Preparar prototipo Figma navegable y capturas de respaldo</t>
        </is>
      </c>
      <c r="E63" s="9" t="inlineStr">
        <is>
          <t>D</t>
        </is>
      </c>
      <c r="F63" s="9" t="inlineStr">
        <is>
          <t>R</t>
        </is>
      </c>
      <c r="G63" s="9" t="inlineStr">
        <is>
          <t>Alta</t>
        </is>
      </c>
      <c r="H63" s="9" t="inlineStr">
        <is>
          <t>No iniciada</t>
        </is>
      </c>
      <c r="I63" s="10" t="n">
        <v>2</v>
      </c>
      <c r="J63" s="9" t="inlineStr">
        <is>
          <t>S4-04</t>
        </is>
      </c>
      <c r="K63" s="9" t="inlineStr">
        <is>
          <t>Prototipo y capturas disponibles offline</t>
        </is>
      </c>
      <c r="L63" s="9" t="inlineStr">
        <is>
          <t>Figma</t>
        </is>
      </c>
    </row>
    <row r="64" ht="15.75" customHeight="1" s="15">
      <c r="A64" s="9" t="inlineStr">
        <is>
          <t>S4-09</t>
        </is>
      </c>
      <c r="B64" s="9" t="inlineStr">
        <is>
          <t>Sprint 4</t>
        </is>
      </c>
      <c r="C64" s="9" t="inlineStr">
        <is>
          <t>Presentación</t>
        </is>
      </c>
      <c r="D64" s="9" t="inlineStr">
        <is>
          <t>Escribir guion de pitch y asignar intervención a cada integrante</t>
        </is>
      </c>
      <c r="E64" s="9" t="inlineStr">
        <is>
          <t>M</t>
        </is>
      </c>
      <c r="F64" s="9" t="inlineStr">
        <is>
          <t>D</t>
        </is>
      </c>
      <c r="G64" s="9" t="inlineStr">
        <is>
          <t>Alta</t>
        </is>
      </c>
      <c r="H64" s="9" t="inlineStr">
        <is>
          <t>No iniciada</t>
        </is>
      </c>
      <c r="I64" s="10" t="n">
        <v>2</v>
      </c>
      <c r="J64" s="9" t="inlineStr">
        <is>
          <t>S4-03</t>
        </is>
      </c>
      <c r="K64" s="9" t="inlineStr">
        <is>
          <t>Pitch de 5 minutos ensayado</t>
        </is>
      </c>
      <c r="L64" s="9" t="inlineStr">
        <is>
          <t>Pitch</t>
        </is>
      </c>
    </row>
    <row r="65" ht="15.75" customHeight="1" s="15">
      <c r="A65" s="9" t="inlineStr">
        <is>
          <t>S4-10</t>
        </is>
      </c>
      <c r="B65" s="9" t="inlineStr">
        <is>
          <t>Sprint 4</t>
        </is>
      </c>
      <c r="C65" s="9" t="inlineStr">
        <is>
          <t>Presentación</t>
        </is>
      </c>
      <c r="D65" s="9" t="inlineStr">
        <is>
          <t>Grabar video de respaldo de 90 segundos</t>
        </is>
      </c>
      <c r="E65" s="9" t="inlineStr">
        <is>
          <t>P</t>
        </is>
      </c>
      <c r="F65" s="9" t="inlineStr">
        <is>
          <t>D</t>
        </is>
      </c>
      <c r="G65" s="9" t="inlineStr">
        <is>
          <t>Alta</t>
        </is>
      </c>
      <c r="H65" s="9" t="inlineStr">
        <is>
          <t>No iniciada</t>
        </is>
      </c>
      <c r="I65" s="10" t="n">
        <v>2</v>
      </c>
      <c r="J65" s="9" t="inlineStr">
        <is>
          <t>S4-06,S4-08</t>
        </is>
      </c>
      <c r="K65" s="9" t="inlineStr">
        <is>
          <t>Video exportado y disponible localmente</t>
        </is>
      </c>
      <c r="L65" s="9" t="inlineStr">
        <is>
          <t>Backup</t>
        </is>
      </c>
    </row>
    <row r="66" ht="15.75" customHeight="1" s="15">
      <c r="A66" s="9" t="inlineStr">
        <is>
          <t>S4-11</t>
        </is>
      </c>
      <c r="B66" s="9" t="inlineStr">
        <is>
          <t>Sprint 4</t>
        </is>
      </c>
      <c r="C66" s="9" t="inlineStr">
        <is>
          <t>Bugfix</t>
        </is>
      </c>
      <c r="D66" s="9" t="inlineStr">
        <is>
          <t>Congelar funciones y corregir únicamente bloqueantes</t>
        </is>
      </c>
      <c r="E66" s="9" t="inlineStr">
        <is>
          <t>R</t>
        </is>
      </c>
      <c r="F66" s="9" t="inlineStr">
        <is>
          <t>M</t>
        </is>
      </c>
      <c r="G66" s="9" t="inlineStr">
        <is>
          <t>Crítica</t>
        </is>
      </c>
      <c r="H66" s="9" t="inlineStr">
        <is>
          <t>No iniciada</t>
        </is>
      </c>
      <c r="I66" s="10" t="n">
        <v>2</v>
      </c>
      <c r="J66" s="9" t="inlineStr">
        <is>
          <t>S4-02,S4-04</t>
        </is>
      </c>
      <c r="K66" s="9" t="inlineStr">
        <is>
          <t>Cero bugs bloqueantes abiertos</t>
        </is>
      </c>
      <c r="L66" s="9" t="inlineStr">
        <is>
          <t>Release</t>
        </is>
      </c>
    </row>
    <row r="67" ht="15.75" customHeight="1" s="15">
      <c r="A67" s="9" t="inlineStr">
        <is>
          <t>S4-12</t>
        </is>
      </c>
      <c r="B67" s="9" t="inlineStr">
        <is>
          <t>Sprint 4</t>
        </is>
      </c>
      <c r="C67" s="9" t="inlineStr">
        <is>
          <t>Entrega</t>
        </is>
      </c>
      <c r="D67" s="9" t="inlineStr">
        <is>
          <t>Completar README, arquitectura, credenciales demo y checklist final</t>
        </is>
      </c>
      <c r="E67" s="9" t="inlineStr">
        <is>
          <t>M</t>
        </is>
      </c>
      <c r="F67" s="9" t="inlineStr">
        <is>
          <t>R</t>
        </is>
      </c>
      <c r="G67" s="9" t="inlineStr">
        <is>
          <t>Alta</t>
        </is>
      </c>
      <c r="H67" s="9" t="inlineStr">
        <is>
          <t>No iniciada</t>
        </is>
      </c>
      <c r="I67" s="10" t="n">
        <v>2</v>
      </c>
      <c r="J67" s="9" t="inlineStr">
        <is>
          <t>S4-07,S4-09</t>
        </is>
      </c>
      <c r="K67" s="9" t="inlineStr">
        <is>
          <t>Repositorio presentable para jurado</t>
        </is>
      </c>
      <c r="L67" s="9" t="inlineStr">
        <is>
          <t>Documentation</t>
        </is>
      </c>
    </row>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mergeCells count="2">
    <mergeCell ref="N1:Q1"/>
    <mergeCell ref="N2:Q4"/>
  </mergeCells>
  <conditionalFormatting sqref="H2:H67">
    <cfRule type="expression" priority="1" dxfId="4">
      <formula>H2="Completada"</formula>
    </cfRule>
    <cfRule type="expression" priority="2" dxfId="5">
      <formula>H2="En progreso"</formula>
    </cfRule>
    <cfRule type="expression" priority="3" dxfId="6">
      <formula>H2="Bloqueada"</formula>
    </cfRule>
  </conditionalFormatting>
  <conditionalFormatting sqref="G2:G67">
    <cfRule type="expression" priority="4" dxfId="7">
      <formula>G2="Crítica"</formula>
    </cfRule>
  </conditionalFormatting>
  <dataValidations count="4">
    <dataValidation sqref="E2:E67" showDropDown="0" showInputMessage="0" showErrorMessage="0" allowBlank="1" type="list">
      <formula1>"D,M,P,R"</formula1>
    </dataValidation>
    <dataValidation sqref="F2:F67" showDropDown="0" showInputMessage="0" showErrorMessage="0" allowBlank="1" type="list">
      <formula1>"D,M,P,R,—"</formula1>
    </dataValidation>
    <dataValidation sqref="G2:G67" showDropDown="0" showInputMessage="0" showErrorMessage="0" allowBlank="1" type="list">
      <formula1>"Crítica,Alta,Media,Baja"</formula1>
    </dataValidation>
    <dataValidation sqref="H2:H67" showDropDown="0" showInputMessage="0" showErrorMessage="0" allowBlank="1" type="list">
      <formula1>"No iniciada,En progreso,Bloqueada,En revisión,Completada,Descartada,En espera"</formula1>
    </dataValidation>
  </dataValidations>
  <pageMargins left="0.7" right="0.7" top="0.75" bottom="0.75" header="0" footer="0"/>
  <pageSetup orientation="landscape"/>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E6"/>
  <sheetViews>
    <sheetView workbookViewId="0">
      <selection activeCell="A1" sqref="A1"/>
    </sheetView>
  </sheetViews>
  <sheetFormatPr baseColWidth="8" defaultColWidth="12.63" defaultRowHeight="15" customHeight="1"/>
  <cols>
    <col width="14" customWidth="1" style="15" min="1" max="2"/>
    <col width="24" customWidth="1" style="15" min="3" max="3"/>
    <col width="48" customWidth="1" style="15" min="4" max="5"/>
    <col width="8.630000000000001" customWidth="1" style="15" min="6" max="26"/>
  </cols>
  <sheetData>
    <row r="1">
      <c r="A1" s="6" t="inlineStr">
        <is>
          <t>Sprint</t>
        </is>
      </c>
      <c r="B1" s="6" t="inlineStr">
        <is>
          <t>Ventana</t>
        </is>
      </c>
      <c r="C1" s="6" t="inlineStr">
        <is>
          <t>Objetivo</t>
        </is>
      </c>
      <c r="D1" s="6" t="inlineStr">
        <is>
          <t>Resultado esperado</t>
        </is>
      </c>
      <c r="E1" s="6" t="inlineStr">
        <is>
          <t>Criterio de salida</t>
        </is>
      </c>
    </row>
    <row r="2">
      <c r="A2" s="9" t="inlineStr">
        <is>
          <t>Sprint 0</t>
        </is>
      </c>
      <c r="B2" s="9" t="inlineStr">
        <is>
          <t>0–3 h</t>
        </is>
      </c>
      <c r="C2" s="9" t="inlineStr">
        <is>
          <t>Fundación y contratos</t>
        </is>
      </c>
      <c r="D2" s="9" t="inlineStr">
        <is>
          <t>Repositorio, diseño base, reglas cerradas, stack y contratos compartidos</t>
        </is>
      </c>
      <c r="E2" s="9" t="inlineStr">
        <is>
          <t>Deploy vacío, DB auditada y tareas desbloqueadas</t>
        </is>
      </c>
    </row>
    <row r="3">
      <c r="A3" s="9" t="inlineStr">
        <is>
          <t>Sprint 1</t>
        </is>
      </c>
      <c r="B3" s="9" t="inlineStr">
        <is>
          <t>3–11 h</t>
        </is>
      </c>
      <c r="C3" s="9" t="inlineStr">
        <is>
          <t>Identidad y marketplace</t>
        </is>
      </c>
      <c r="D3" s="9" t="inlineStr">
        <is>
          <t>Autenticación, perfiles, publicaciones, marketplace y vehículos</t>
        </is>
      </c>
      <c r="E3" s="9" t="inlineStr">
        <is>
          <t>Un productor publica y un comprador puede explorar</t>
        </is>
      </c>
    </row>
    <row r="4">
      <c r="A4" s="9" t="inlineStr">
        <is>
          <t>Sprint 2</t>
        </is>
      </c>
      <c r="B4" s="9" t="inlineStr">
        <is>
          <t>11–20 h</t>
        </is>
      </c>
      <c r="C4" s="9" t="inlineStr">
        <is>
          <t>Negociación y órdenes</t>
        </is>
      </c>
      <c r="D4" s="9" t="inlineStr">
        <is>
          <t>Dos negociaciones, órdenes, varios productores y transporte</t>
        </is>
      </c>
      <c r="E4" s="9" t="inlineStr">
        <is>
          <t>Match crea orden y permite recibir ofertas de flete</t>
        </is>
      </c>
    </row>
    <row r="5">
      <c r="A5" s="9" t="inlineStr">
        <is>
          <t>Sprint 3</t>
        </is>
      </c>
      <c r="B5" s="9" t="inlineStr">
        <is>
          <t>20–29 h</t>
        </is>
      </c>
      <c r="C5" s="9" t="inlineStr">
        <is>
          <t>Inteligencia e integración</t>
        </is>
      </c>
      <c r="D5" s="9" t="inlineStr">
        <is>
          <t>Precio, riesgo, OpenAI, mapas, viajes y flujo completo</t>
        </is>
      </c>
      <c r="E5" s="9" t="inlineStr">
        <is>
          <t>Demo funcional de extremo a extremo</t>
        </is>
      </c>
    </row>
    <row r="6">
      <c r="A6" s="9" t="inlineStr">
        <is>
          <t>Sprint 4</t>
        </is>
      </c>
      <c r="B6" s="9" t="inlineStr">
        <is>
          <t>29–36 h</t>
        </is>
      </c>
      <c r="C6" s="9" t="inlineStr">
        <is>
          <t>QA, deploy y pitch</t>
        </is>
      </c>
      <c r="D6" s="9" t="inlineStr">
        <is>
          <t>Pruebas, fallbacks, datos demo, diseño final y presentación</t>
        </is>
      </c>
      <c r="E6" s="9" t="inlineStr">
        <is>
          <t>Entrega estable y demostración ensayada</t>
        </is>
      </c>
    </row>
    <row r="21" ht="15.75" customHeight="1" s="15"/>
    <row r="22" ht="15.75" customHeight="1" s="15"/>
    <row r="23" ht="15.75" customHeight="1" s="15"/>
    <row r="24" ht="15.75" customHeight="1" s="15"/>
    <row r="25" ht="15.75" customHeight="1" s="15"/>
    <row r="26" ht="15.75" customHeight="1" s="15"/>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pageMargins left="0.7" right="0.7" top="0.75" bottom="0.75" header="0" footer="0"/>
  <pageSetup orientation="landscape"/>
  <tableParts count="1">
    <tablePart xmlns:r="http://schemas.openxmlformats.org/officeDocument/2006/relationships" r:id="rId1"/>
  </tableParts>
</worksheet>
</file>

<file path=xl/worksheets/sheet4.xml><?xml version="1.0" encoding="utf-8"?>
<worksheet xmlns="http://schemas.openxmlformats.org/spreadsheetml/2006/main">
  <sheetPr>
    <outlinePr summaryBelow="1" summaryRight="1"/>
    <pageSetUpPr/>
  </sheetPr>
  <dimension ref="A1:G25"/>
  <sheetViews>
    <sheetView workbookViewId="0">
      <selection activeCell="A1" sqref="A1"/>
    </sheetView>
  </sheetViews>
  <sheetFormatPr baseColWidth="8" defaultColWidth="12.63" defaultRowHeight="15" customHeight="1"/>
  <cols>
    <col width="14" customWidth="1" style="15" min="1" max="1"/>
    <col width="38" customWidth="1" style="15" min="2" max="2"/>
    <col width="12" customWidth="1" style="15" min="3" max="5"/>
    <col width="14" customWidth="1" style="15" min="6" max="6"/>
    <col width="48" customWidth="1" style="15" min="7" max="7"/>
    <col width="8.630000000000001" customWidth="1" style="15" min="8" max="26"/>
  </cols>
  <sheetData>
    <row r="1">
      <c r="A1" s="6" t="inlineStr">
        <is>
          <t>Tipo</t>
        </is>
      </c>
      <c r="B1" s="6" t="inlineStr">
        <is>
          <t>Elemento</t>
        </is>
      </c>
      <c r="C1" s="6" t="inlineStr">
        <is>
          <t>Responsable</t>
        </is>
      </c>
      <c r="D1" s="6" t="inlineStr">
        <is>
          <t>Sprint</t>
        </is>
      </c>
      <c r="E1" s="6" t="inlineStr">
        <is>
          <t>Prioridad</t>
        </is>
      </c>
      <c r="F1" s="6" t="inlineStr">
        <is>
          <t>Estado</t>
        </is>
      </c>
      <c r="G1" s="6" t="inlineStr">
        <is>
          <t>Criterio/Notas</t>
        </is>
      </c>
    </row>
    <row r="2">
      <c r="A2" s="9" t="inlineStr">
        <is>
          <t>Cuenta</t>
        </is>
      </c>
      <c r="B2" s="9" t="inlineStr">
        <is>
          <t>GitHub organización/repositorio</t>
        </is>
      </c>
      <c r="C2" s="9" t="inlineStr">
        <is>
          <t>R</t>
        </is>
      </c>
      <c r="D2" s="9" t="inlineStr">
        <is>
          <t>Sprint 0</t>
        </is>
      </c>
      <c r="E2" s="9" t="inlineStr">
        <is>
          <t>Crítica</t>
        </is>
      </c>
      <c r="F2" s="9" t="inlineStr">
        <is>
          <t>No iniciada</t>
        </is>
      </c>
      <c r="G2" s="9" t="inlineStr">
        <is>
          <t>Invitar D, M, P y R; proteger main</t>
        </is>
      </c>
    </row>
    <row r="3">
      <c r="A3" s="9" t="inlineStr">
        <is>
          <t>Cuenta</t>
        </is>
      </c>
      <c r="B3" s="9" t="inlineStr">
        <is>
          <t>Supabase proyecto</t>
        </is>
      </c>
      <c r="C3" s="9" t="inlineStr">
        <is>
          <t>R</t>
        </is>
      </c>
      <c r="D3" s="9" t="inlineStr">
        <is>
          <t>Sprint 0</t>
        </is>
      </c>
      <c r="E3" s="9" t="inlineStr">
        <is>
          <t>Crítica</t>
        </is>
      </c>
      <c r="F3" s="9" t="inlineStr">
        <is>
          <t>No iniciada</t>
        </is>
      </c>
      <c r="G3" s="9" t="inlineStr">
        <is>
          <t>Proyecto compartido; región y claves registradas</t>
        </is>
      </c>
    </row>
    <row r="4">
      <c r="A4" s="9" t="inlineStr">
        <is>
          <t>Cuenta</t>
        </is>
      </c>
      <c r="B4" s="9" t="inlineStr">
        <is>
          <t>Vercel team/proyecto</t>
        </is>
      </c>
      <c r="C4" s="9" t="inlineStr">
        <is>
          <t>R</t>
        </is>
      </c>
      <c r="D4" s="9" t="inlineStr">
        <is>
          <t>Sprint 0</t>
        </is>
      </c>
      <c r="E4" s="9" t="inlineStr">
        <is>
          <t>Crítica</t>
        </is>
      </c>
      <c r="F4" s="9" t="inlineStr">
        <is>
          <t>No iniciada</t>
        </is>
      </c>
      <c r="G4" s="9" t="inlineStr">
        <is>
          <t>Deploy desde GitHub</t>
        </is>
      </c>
    </row>
    <row r="5">
      <c r="A5" s="9" t="inlineStr">
        <is>
          <t>Cuenta</t>
        </is>
      </c>
      <c r="B5" s="9" t="inlineStr">
        <is>
          <t>Figma/Figma Make</t>
        </is>
      </c>
      <c r="C5" s="9" t="inlineStr">
        <is>
          <t>D</t>
        </is>
      </c>
      <c r="D5" s="9" t="inlineStr">
        <is>
          <t>Sprint 0</t>
        </is>
      </c>
      <c r="E5" s="9" t="inlineStr">
        <is>
          <t>Crítica</t>
        </is>
      </c>
      <c r="F5" s="9" t="inlineStr">
        <is>
          <t>No iniciada</t>
        </is>
      </c>
      <c r="G5" s="9" t="inlineStr">
        <is>
          <t>Proyecto compartido con librería de componentes</t>
        </is>
      </c>
    </row>
    <row r="6">
      <c r="A6" s="9" t="inlineStr">
        <is>
          <t>Cuenta</t>
        </is>
      </c>
      <c r="B6" s="9" t="inlineStr">
        <is>
          <t>OpenAI API project</t>
        </is>
      </c>
      <c r="C6" s="9" t="inlineStr">
        <is>
          <t>P</t>
        </is>
      </c>
      <c r="D6" s="9" t="inlineStr">
        <is>
          <t>Sprint 0</t>
        </is>
      </c>
      <c r="E6" s="9" t="inlineStr">
        <is>
          <t>Crítica</t>
        </is>
      </c>
      <c r="F6" s="9" t="inlineStr">
        <is>
          <t>No iniciada</t>
        </is>
      </c>
      <c r="G6" s="9" t="inlineStr">
        <is>
          <t>Responses API; presupuesto y límites; no Gemini</t>
        </is>
      </c>
    </row>
    <row r="7">
      <c r="A7" s="9" t="inlineStr">
        <is>
          <t>Cuenta</t>
        </is>
      </c>
      <c r="B7" s="9" t="inlineStr">
        <is>
          <t>Mapbox</t>
        </is>
      </c>
      <c r="C7" s="9" t="inlineStr">
        <is>
          <t>P</t>
        </is>
      </c>
      <c r="D7" s="9" t="inlineStr">
        <is>
          <t>Sprint 0</t>
        </is>
      </c>
      <c r="E7" s="9" t="inlineStr">
        <is>
          <t>Alta</t>
        </is>
      </c>
      <c r="F7" s="9" t="inlineStr">
        <is>
          <t>No iniciada</t>
        </is>
      </c>
      <c r="G7" s="9" t="inlineStr">
        <is>
          <t>Token restringido al dominio</t>
        </is>
      </c>
    </row>
    <row r="8">
      <c r="A8" s="9" t="inlineStr">
        <is>
          <t>Cuenta</t>
        </is>
      </c>
      <c r="B8" s="9" t="inlineStr">
        <is>
          <t>Resend</t>
        </is>
      </c>
      <c r="C8" s="9" t="inlineStr">
        <is>
          <t>M</t>
        </is>
      </c>
      <c r="D8" s="9" t="inlineStr">
        <is>
          <t>Sprint 3</t>
        </is>
      </c>
      <c r="E8" s="9" t="inlineStr">
        <is>
          <t>Baja</t>
        </is>
      </c>
      <c r="F8" s="9" t="inlineStr">
        <is>
          <t>No iniciada</t>
        </is>
      </c>
      <c r="G8" s="9" t="inlineStr">
        <is>
          <t>Solo si sobra tiempo</t>
        </is>
      </c>
    </row>
    <row r="9">
      <c r="A9" s="9" t="inlineStr">
        <is>
          <t>Cuenta</t>
        </is>
      </c>
      <c r="B9" s="9" t="inlineStr">
        <is>
          <t>Sentry</t>
        </is>
      </c>
      <c r="C9" s="9" t="inlineStr">
        <is>
          <t>R</t>
        </is>
      </c>
      <c r="D9" s="9" t="inlineStr">
        <is>
          <t>Sprint 3</t>
        </is>
      </c>
      <c r="E9" s="9" t="inlineStr">
        <is>
          <t>Media</t>
        </is>
      </c>
      <c r="F9" s="9" t="inlineStr">
        <is>
          <t>No iniciada</t>
        </is>
      </c>
      <c r="G9" s="9" t="inlineStr">
        <is>
          <t>Opcional para errores de producción</t>
        </is>
      </c>
    </row>
    <row r="10">
      <c r="A10" s="9" t="inlineStr">
        <is>
          <t>Variable</t>
        </is>
      </c>
      <c r="B10" s="9" t="inlineStr">
        <is>
          <t>NEXT_PUBLIC_SUPABASE_URL</t>
        </is>
      </c>
      <c r="C10" s="9" t="inlineStr">
        <is>
          <t>R</t>
        </is>
      </c>
      <c r="D10" s="9" t="inlineStr">
        <is>
          <t>Sprint 0</t>
        </is>
      </c>
      <c r="E10" s="9" t="inlineStr">
        <is>
          <t>Crítica</t>
        </is>
      </c>
      <c r="F10" s="9" t="inlineStr">
        <is>
          <t>No iniciada</t>
        </is>
      </c>
      <c r="G10" s="9" t="inlineStr">
        <is>
          <t>Local y Vercel</t>
        </is>
      </c>
    </row>
    <row r="11">
      <c r="A11" s="9" t="inlineStr">
        <is>
          <t>Variable</t>
        </is>
      </c>
      <c r="B11" s="9" t="inlineStr">
        <is>
          <t>NEXT_PUBLIC_SUPABASE_PUBLISHABLE_KEY</t>
        </is>
      </c>
      <c r="C11" s="9" t="inlineStr">
        <is>
          <t>R</t>
        </is>
      </c>
      <c r="D11" s="9" t="inlineStr">
        <is>
          <t>Sprint 0</t>
        </is>
      </c>
      <c r="E11" s="9" t="inlineStr">
        <is>
          <t>Crítica</t>
        </is>
      </c>
      <c r="F11" s="9" t="inlineStr">
        <is>
          <t>No iniciada</t>
        </is>
      </c>
      <c r="G11" s="9" t="inlineStr">
        <is>
          <t>No confundir con service role</t>
        </is>
      </c>
    </row>
    <row r="12">
      <c r="A12" s="9" t="inlineStr">
        <is>
          <t>Variable</t>
        </is>
      </c>
      <c r="B12" s="9" t="inlineStr">
        <is>
          <t>SUPABASE_SERVICE_ROLE_KEY</t>
        </is>
      </c>
      <c r="C12" s="9" t="inlineStr">
        <is>
          <t>R</t>
        </is>
      </c>
      <c r="D12" s="9" t="inlineStr">
        <is>
          <t>Sprint 0</t>
        </is>
      </c>
      <c r="E12" s="9" t="inlineStr">
        <is>
          <t>Crítica</t>
        </is>
      </c>
      <c r="F12" s="9" t="inlineStr">
        <is>
          <t>No iniciada</t>
        </is>
      </c>
      <c r="G12" s="9" t="inlineStr">
        <is>
          <t>Solo servidor</t>
        </is>
      </c>
    </row>
    <row r="13">
      <c r="A13" s="9" t="inlineStr">
        <is>
          <t>Variable</t>
        </is>
      </c>
      <c r="B13" s="9" t="inlineStr">
        <is>
          <t>OPENAI_API_KEY</t>
        </is>
      </c>
      <c r="C13" s="9" t="inlineStr">
        <is>
          <t>P</t>
        </is>
      </c>
      <c r="D13" s="9" t="inlineStr">
        <is>
          <t>Sprint 3</t>
        </is>
      </c>
      <c r="E13" s="9" t="inlineStr">
        <is>
          <t>Crítica</t>
        </is>
      </c>
      <c r="F13" s="9" t="inlineStr">
        <is>
          <t>No iniciada</t>
        </is>
      </c>
      <c r="G13" s="9" t="inlineStr">
        <is>
          <t>Solo servidor; no Gemini</t>
        </is>
      </c>
    </row>
    <row r="14">
      <c r="A14" s="9" t="inlineStr">
        <is>
          <t>Variable</t>
        </is>
      </c>
      <c r="B14" s="9" t="inlineStr">
        <is>
          <t>NEXT_PUBLIC_MAPBOX_TOKEN</t>
        </is>
      </c>
      <c r="C14" s="9" t="inlineStr">
        <is>
          <t>P</t>
        </is>
      </c>
      <c r="D14" s="9" t="inlineStr">
        <is>
          <t>Sprint 1</t>
        </is>
      </c>
      <c r="E14" s="9" t="inlineStr">
        <is>
          <t>Alta</t>
        </is>
      </c>
      <c r="F14" s="9" t="inlineStr">
        <is>
          <t>No iniciada</t>
        </is>
      </c>
      <c r="G14" s="9" t="inlineStr">
        <is>
          <t>Token público restringido</t>
        </is>
      </c>
    </row>
    <row r="15">
      <c r="A15" s="9" t="inlineStr">
        <is>
          <t>Dato</t>
        </is>
      </c>
      <c r="B15" s="9" t="inlineStr">
        <is>
          <t>Catálogo de productos y variedades</t>
        </is>
      </c>
      <c r="C15" s="9" t="inlineStr">
        <is>
          <t>M</t>
        </is>
      </c>
      <c r="D15" s="9" t="inlineStr">
        <is>
          <t>Sprint 0</t>
        </is>
      </c>
      <c r="E15" s="9" t="inlineStr">
        <is>
          <t>Crítica</t>
        </is>
      </c>
      <c r="F15" s="9" t="inlineStr">
        <is>
          <t>No iniciada</t>
        </is>
      </c>
      <c r="G15" s="9" t="inlineStr">
        <is>
          <t>Papa, fibra, quinua, cebolla y trucha</t>
        </is>
      </c>
    </row>
    <row r="16">
      <c r="A16" s="9" t="inlineStr">
        <is>
          <t>Dato</t>
        </is>
      </c>
      <c r="B16" s="9" t="inlineStr">
        <is>
          <t>Unidades y conversiones</t>
        </is>
      </c>
      <c r="C16" s="9" t="inlineStr">
        <is>
          <t>R</t>
        </is>
      </c>
      <c r="D16" s="9" t="inlineStr">
        <is>
          <t>Sprint 1</t>
        </is>
      </c>
      <c r="E16" s="9" t="inlineStr">
        <is>
          <t>Alta</t>
        </is>
      </c>
      <c r="F16" s="9" t="inlineStr">
        <is>
          <t>No iniciada</t>
        </is>
      </c>
      <c r="G16" s="9" t="inlineStr">
        <is>
          <t>kg, t, quintal, saco y unidad</t>
        </is>
      </c>
    </row>
    <row r="17">
      <c r="A17" s="9" t="inlineStr">
        <is>
          <t>Dato</t>
        </is>
      </c>
      <c r="B17" s="9" t="inlineStr">
        <is>
          <t>Atributos de calidad por producto</t>
        </is>
      </c>
      <c r="C17" s="9" t="inlineStr">
        <is>
          <t>M</t>
        </is>
      </c>
      <c r="D17" s="9" t="inlineStr">
        <is>
          <t>Sprint 1</t>
        </is>
      </c>
      <c r="E17" s="9" t="inlineStr">
        <is>
          <t>Crítica</t>
        </is>
      </c>
      <c r="F17" s="9" t="inlineStr">
        <is>
          <t>No iniciada</t>
        </is>
      </c>
      <c r="G17" s="9" t="inlineStr">
        <is>
          <t>Calibre, color, humedad, finura y presentación</t>
        </is>
      </c>
    </row>
    <row r="18">
      <c r="A18" s="9" t="inlineStr">
        <is>
          <t>Dato</t>
        </is>
      </c>
      <c r="B18" s="9" t="inlineStr">
        <is>
          <t>20–30 observaciones de precio por producto demo</t>
        </is>
      </c>
      <c r="C18" s="9" t="inlineStr">
        <is>
          <t>P</t>
        </is>
      </c>
      <c r="D18" s="9" t="inlineStr">
        <is>
          <t>Sprint 3</t>
        </is>
      </c>
      <c r="E18" s="9" t="inlineStr">
        <is>
          <t>Crítica</t>
        </is>
      </c>
      <c r="F18" s="9" t="inlineStr">
        <is>
          <t>No iniciada</t>
        </is>
      </c>
      <c r="G18" s="9" t="inlineStr">
        <is>
          <t>Fecha, mercado, región, bajo/medio/alto y fuente</t>
        </is>
      </c>
    </row>
    <row r="19">
      <c r="A19" s="9" t="inlineStr">
        <is>
          <t>Dato</t>
        </is>
      </c>
      <c r="B19" s="9" t="inlineStr">
        <is>
          <t>Eventos de riesgo precargados</t>
        </is>
      </c>
      <c r="C19" s="9" t="inlineStr">
        <is>
          <t>P</t>
        </is>
      </c>
      <c r="D19" s="9" t="inlineStr">
        <is>
          <t>Sprint 3</t>
        </is>
      </c>
      <c r="E19" s="9" t="inlineStr">
        <is>
          <t>Crítica</t>
        </is>
      </c>
      <c r="F19" s="9" t="inlineStr">
        <is>
          <t>No iniciada</t>
        </is>
      </c>
      <c r="G19" s="9" t="inlineStr">
        <is>
          <t>Bloqueo, protesta, lluvia, accidente y ruta libre</t>
        </is>
      </c>
    </row>
    <row r="20">
      <c r="A20" s="9" t="inlineStr">
        <is>
          <t>Dato</t>
        </is>
      </c>
      <c r="B20" s="9" t="inlineStr">
        <is>
          <t>Ubicaciones y coordenadas aproximadas</t>
        </is>
      </c>
      <c r="C20" s="9" t="inlineStr">
        <is>
          <t>P</t>
        </is>
      </c>
      <c r="D20" s="9" t="inlineStr">
        <is>
          <t>Sprint 1</t>
        </is>
      </c>
      <c r="E20" s="9" t="inlineStr">
        <is>
          <t>Alta</t>
        </is>
      </c>
      <c r="F20" s="9" t="inlineStr">
        <is>
          <t>No iniciada</t>
        </is>
      </c>
      <c r="G20" s="9" t="inlineStr">
        <is>
          <t>Acora, Ilave, Mazocruz, Juli, Puno y Arequipa</t>
        </is>
      </c>
    </row>
    <row r="21" ht="15.75" customHeight="1" s="15">
      <c r="A21" s="9" t="inlineStr">
        <is>
          <t>Dato</t>
        </is>
      </c>
      <c r="B21" s="9" t="inlineStr">
        <is>
          <t>Usuarios de demostración</t>
        </is>
      </c>
      <c r="C21" s="9" t="inlineStr">
        <is>
          <t>M</t>
        </is>
      </c>
      <c r="D21" s="9" t="inlineStr">
        <is>
          <t>Sprint 1</t>
        </is>
      </c>
      <c r="E21" s="9" t="inlineStr">
        <is>
          <t>Crítica</t>
        </is>
      </c>
      <c r="F21" s="9" t="inlineStr">
        <is>
          <t>No iniciada</t>
        </is>
      </c>
      <c r="G21" s="9" t="inlineStr">
        <is>
          <t>3 productores, 2 compradores, 3 transportistas</t>
        </is>
      </c>
    </row>
    <row r="22" ht="15.75" customHeight="1" s="15">
      <c r="A22" s="9" t="inlineStr">
        <is>
          <t>Dato</t>
        </is>
      </c>
      <c r="B22" s="9" t="inlineStr">
        <is>
          <t>Vehículos de demostración</t>
        </is>
      </c>
      <c r="C22" s="9" t="inlineStr">
        <is>
          <t>P</t>
        </is>
      </c>
      <c r="D22" s="9" t="inlineStr">
        <is>
          <t>Sprint 1</t>
        </is>
      </c>
      <c r="E22" s="9" t="inlineStr">
        <is>
          <t>Alta</t>
        </is>
      </c>
      <c r="F22" s="9" t="inlineStr">
        <is>
          <t>No iniciada</t>
        </is>
      </c>
      <c r="G22" s="9" t="inlineStr">
        <is>
          <t>Pickup, 4x4, 8 t, 12 t y furgón</t>
        </is>
      </c>
    </row>
    <row r="23" ht="15.75" customHeight="1" s="15">
      <c r="A23" s="9" t="inlineStr">
        <is>
          <t>Dato</t>
        </is>
      </c>
      <c r="B23" s="9" t="inlineStr">
        <is>
          <t>Fotografías reales y permisos de uso</t>
        </is>
      </c>
      <c r="C23" s="9" t="inlineStr">
        <is>
          <t>D</t>
        </is>
      </c>
      <c r="D23" s="9" t="inlineStr">
        <is>
          <t>Sprint 1</t>
        </is>
      </c>
      <c r="E23" s="9" t="inlineStr">
        <is>
          <t>Alta</t>
        </is>
      </c>
      <c r="F23" s="9" t="inlineStr">
        <is>
          <t>No iniciada</t>
        </is>
      </c>
      <c r="G23" s="9" t="inlineStr">
        <is>
          <t>Altiplano, productos, rutas y camiones</t>
        </is>
      </c>
    </row>
    <row r="24" ht="15.75" customHeight="1" s="15">
      <c r="A24" s="9" t="inlineStr">
        <is>
          <t>Documento</t>
        </is>
      </c>
      <c r="B24" s="9" t="inlineStr">
        <is>
          <t>Política de privacidad de demo</t>
        </is>
      </c>
      <c r="C24" s="9" t="inlineStr">
        <is>
          <t>M</t>
        </is>
      </c>
      <c r="D24" s="9" t="inlineStr">
        <is>
          <t>Sprint 4</t>
        </is>
      </c>
      <c r="E24" s="9" t="inlineStr">
        <is>
          <t>Media</t>
        </is>
      </c>
      <c r="F24" s="9" t="inlineStr">
        <is>
          <t>No iniciada</t>
        </is>
      </c>
      <c r="G24" s="9" t="inlineStr">
        <is>
          <t>Aclarar ubicación aproximada y datos simulados</t>
        </is>
      </c>
    </row>
    <row r="25" ht="15.75" customHeight="1" s="15">
      <c r="A25" s="9" t="inlineStr">
        <is>
          <t>Documento</t>
        </is>
      </c>
      <c r="B25" s="9" t="inlineStr">
        <is>
          <t>Credenciales demo por rol</t>
        </is>
      </c>
      <c r="C25" s="9" t="inlineStr">
        <is>
          <t>M</t>
        </is>
      </c>
      <c r="D25" s="9" t="inlineStr">
        <is>
          <t>Sprint 4</t>
        </is>
      </c>
      <c r="E25" s="9" t="inlineStr">
        <is>
          <t>Crítica</t>
        </is>
      </c>
      <c r="F25" s="9" t="inlineStr">
        <is>
          <t>No iniciada</t>
        </is>
      </c>
      <c r="G25" s="9" t="inlineStr">
        <is>
          <t>Lista impresa/local para pitch</t>
        </is>
      </c>
    </row>
    <row r="26" ht="15.75" customHeight="1" s="15"/>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conditionalFormatting sqref="F2:F25">
    <cfRule type="expression" priority="1" dxfId="8">
      <formula>F2="Completada"</formula>
    </cfRule>
  </conditionalFormatting>
  <dataValidations count="2">
    <dataValidation sqref="C2:C25" showDropDown="0" showInputMessage="0" showErrorMessage="0" allowBlank="1" type="list">
      <formula1>"D,M,P,R"</formula1>
    </dataValidation>
    <dataValidation sqref="F2:F25" showDropDown="0" showInputMessage="0" showErrorMessage="0" allowBlank="1" type="list">
      <formula1>"No iniciada,En progreso,Bloqueada,En revisión,Completada"</formula1>
    </dataValidation>
  </dataValidations>
  <pageMargins left="0.7" right="0.7" top="0.75" bottom="0.75" header="0" footer="0"/>
  <pageSetup orientation="landscape"/>
  <tableParts count="1">
    <tablePart xmlns:r="http://schemas.openxmlformats.org/officeDocument/2006/relationships" r:id="rId1"/>
  </tableParts>
</worksheet>
</file>

<file path=xl/worksheets/sheet5.xml><?xml version="1.0" encoding="utf-8"?>
<worksheet xmlns="http://schemas.openxmlformats.org/spreadsheetml/2006/main">
  <sheetPr>
    <outlinePr summaryBelow="1" summaryRight="1"/>
    <pageSetUpPr/>
  </sheetPr>
  <dimension ref="A1:F21"/>
  <sheetViews>
    <sheetView workbookViewId="0">
      <selection activeCell="A1" sqref="A1"/>
    </sheetView>
  </sheetViews>
  <sheetFormatPr baseColWidth="8" defaultColWidth="12.63" defaultRowHeight="15" customHeight="1"/>
  <cols>
    <col width="10" customWidth="1" style="15" min="1" max="1"/>
    <col width="48" customWidth="1" style="15" min="2" max="2"/>
    <col width="12" customWidth="1" style="15" min="3" max="4"/>
    <col width="14" customWidth="1" style="15" min="5" max="5"/>
    <col width="50" customWidth="1" style="15" min="6" max="6"/>
    <col width="8.630000000000001" customWidth="1" style="15" min="7" max="26"/>
  </cols>
  <sheetData>
    <row r="1">
      <c r="A1" s="6" t="inlineStr">
        <is>
          <t>ID</t>
        </is>
      </c>
      <c r="B1" s="6" t="inlineStr">
        <is>
          <t>Corrección exacta</t>
        </is>
      </c>
      <c r="C1" s="6" t="inlineStr">
        <is>
          <t>Responsable</t>
        </is>
      </c>
      <c r="D1" s="6" t="inlineStr">
        <is>
          <t>Prioridad</t>
        </is>
      </c>
      <c r="E1" s="6" t="inlineStr">
        <is>
          <t>Estado</t>
        </is>
      </c>
      <c r="F1" s="6" t="inlineStr">
        <is>
          <t>Criterio de aceptación</t>
        </is>
      </c>
    </row>
    <row r="2">
      <c r="A2" s="9" t="inlineStr">
        <is>
          <t>DB-01</t>
        </is>
      </c>
      <c r="B2" s="9" t="inlineStr">
        <is>
          <t>Validar que cada script ejecute desde una base vacía</t>
        </is>
      </c>
      <c r="C2" s="9" t="inlineStr">
        <is>
          <t>R</t>
        </is>
      </c>
      <c r="D2" s="9" t="inlineStr">
        <is>
          <t>Crítica</t>
        </is>
      </c>
      <c r="E2" s="9" t="inlineStr">
        <is>
          <t>No iniciada</t>
        </is>
      </c>
      <c r="F2" s="9" t="inlineStr">
        <is>
          <t>No deben existir dependencias hacia objetos aún no creados</t>
        </is>
      </c>
    </row>
    <row r="3">
      <c r="A3" s="9" t="inlineStr">
        <is>
          <t>DB-02</t>
        </is>
      </c>
      <c r="B3" s="9" t="inlineStr">
        <is>
          <t>Revisar nombres de tablas y referencias del mínimo privado</t>
        </is>
      </c>
      <c r="C3" s="9" t="inlineStr">
        <is>
          <t>R</t>
        </is>
      </c>
      <c r="D3" s="9" t="inlineStr">
        <is>
          <t>Crítica</t>
        </is>
      </c>
      <c r="E3" s="9" t="inlineStr">
        <is>
          <t>No iniciada</t>
        </is>
      </c>
      <c r="F3" s="9" t="inlineStr">
        <is>
          <t>Unificar offer_negotiation_policies; no usar nombres inexistentes</t>
        </is>
      </c>
    </row>
    <row r="4">
      <c r="A4" s="9" t="inlineStr">
        <is>
          <t>DB-03</t>
        </is>
      </c>
      <c r="B4" s="9" t="inlineStr">
        <is>
          <t>Asegurar que hidden_floor_price no aparezca en vistas públicas</t>
        </is>
      </c>
      <c r="C4" s="9" t="inlineStr">
        <is>
          <t>R</t>
        </is>
      </c>
      <c r="D4" s="9" t="inlineStr">
        <is>
          <t>Crítica</t>
        </is>
      </c>
      <c r="E4" s="9" t="inlineStr">
        <is>
          <t>No iniciada</t>
        </is>
      </c>
      <c r="F4" s="9" t="inlineStr">
        <is>
          <t>SELECT público nunca devuelve el campo</t>
        </is>
      </c>
    </row>
    <row r="5">
      <c r="A5" s="9" t="inlineStr">
        <is>
          <t>DB-04</t>
        </is>
      </c>
      <c r="B5" s="9" t="inlineStr">
        <is>
          <t>Completar RLS para subtablas, órdenes, asignaciones y evidencias</t>
        </is>
      </c>
      <c r="C5" s="9" t="inlineStr">
        <is>
          <t>R</t>
        </is>
      </c>
      <c r="D5" s="9" t="inlineStr">
        <is>
          <t>Crítica</t>
        </is>
      </c>
      <c r="E5" s="9" t="inlineStr">
        <is>
          <t>No iniciada</t>
        </is>
      </c>
      <c r="F5" s="9" t="inlineStr">
        <is>
          <t>Cada tabla sensible tiene política explícita</t>
        </is>
      </c>
    </row>
    <row r="6">
      <c r="A6" s="9" t="inlineStr">
        <is>
          <t>DB-05</t>
        </is>
      </c>
      <c r="B6" s="9" t="inlineStr">
        <is>
          <t>Revisar permisos de funciones SECURITY DEFINER</t>
        </is>
      </c>
      <c r="C6" s="9" t="inlineStr">
        <is>
          <t>R</t>
        </is>
      </c>
      <c r="D6" s="9" t="inlineStr">
        <is>
          <t>Crítica</t>
        </is>
      </c>
      <c r="E6" s="9" t="inlineStr">
        <is>
          <t>No iniciada</t>
        </is>
      </c>
      <c r="F6" s="9" t="inlineStr">
        <is>
          <t>search_path fijo; revoke public; grant authenticated</t>
        </is>
      </c>
    </row>
    <row r="7">
      <c r="A7" s="9" t="inlineStr">
        <is>
          <t>DB-06</t>
        </is>
      </c>
      <c r="B7" s="9" t="inlineStr">
        <is>
          <t>Probar concurrencia en submit_quick_offer</t>
        </is>
      </c>
      <c r="C7" s="9" t="inlineStr">
        <is>
          <t>R</t>
        </is>
      </c>
      <c r="D7" s="9" t="inlineStr">
        <is>
          <t>Crítica</t>
        </is>
      </c>
      <c r="E7" s="9" t="inlineStr">
        <is>
          <t>No iniciada</t>
        </is>
      </c>
      <c r="F7" s="9" t="inlineStr">
        <is>
          <t>Dos ofertas simultáneas no venden stock doble</t>
        </is>
      </c>
    </row>
    <row r="8">
      <c r="A8" s="9" t="inlineStr">
        <is>
          <t>DB-07</t>
        </is>
      </c>
      <c r="B8" s="9" t="inlineStr">
        <is>
          <t>Corregir liberación de reservas expiradas y conteo actualizado</t>
        </is>
      </c>
      <c r="C8" s="9" t="inlineStr">
        <is>
          <t>R</t>
        </is>
      </c>
      <c r="D8" s="9" t="inlineStr">
        <is>
          <t>Alta</t>
        </is>
      </c>
      <c r="E8" s="9" t="inlineStr">
        <is>
          <t>No iniciada</t>
        </is>
      </c>
      <c r="F8" s="9" t="inlineStr">
        <is>
          <t>Stock y orden quedan consistentes</t>
        </is>
      </c>
    </row>
    <row r="9">
      <c r="A9" s="9" t="inlineStr">
        <is>
          <t>DB-08</t>
        </is>
      </c>
      <c r="B9" s="9" t="inlineStr">
        <is>
          <t>Agregar índices a FKs y consultas frecuentes</t>
        </is>
      </c>
      <c r="C9" s="9" t="inlineStr">
        <is>
          <t>R</t>
        </is>
      </c>
      <c r="D9" s="9" t="inlineStr">
        <is>
          <t>Alta</t>
        </is>
      </c>
      <c r="E9" s="9" t="inlineStr">
        <is>
          <t>No iniciada</t>
        </is>
      </c>
      <c r="F9" s="9" t="inlineStr">
        <is>
          <t>Explain básico sin full scans innecesarios</t>
        </is>
      </c>
    </row>
    <row r="10">
      <c r="A10" s="9" t="inlineStr">
        <is>
          <t>DB-09</t>
        </is>
      </c>
      <c r="B10" s="9" t="inlineStr">
        <is>
          <t>Validar que una variedad pertenezca al producto de la publicación</t>
        </is>
      </c>
      <c r="C10" s="9" t="inlineStr">
        <is>
          <t>R</t>
        </is>
      </c>
      <c r="D10" s="9" t="inlineStr">
        <is>
          <t>Alta</t>
        </is>
      </c>
      <c r="E10" s="9" t="inlineStr">
        <is>
          <t>No iniciada</t>
        </is>
      </c>
      <c r="F10" s="9" t="inlineStr">
        <is>
          <t>Trigger o constraint evita combinaciones inválidas</t>
        </is>
      </c>
    </row>
    <row r="11">
      <c r="A11" s="9" t="inlineStr">
        <is>
          <t>DB-10</t>
        </is>
      </c>
      <c r="B11" s="9" t="inlineStr">
        <is>
          <t>Validar que atributos pertenezcan al producto correcto</t>
        </is>
      </c>
      <c r="C11" s="9" t="inlineStr">
        <is>
          <t>R</t>
        </is>
      </c>
      <c r="D11" s="9" t="inlineStr">
        <is>
          <t>Alta</t>
        </is>
      </c>
      <c r="E11" s="9" t="inlineStr">
        <is>
          <t>No iniciada</t>
        </is>
      </c>
      <c r="F11" s="9" t="inlineStr">
        <is>
          <t>No se asigna finura a papa, por ejemplo</t>
        </is>
      </c>
    </row>
    <row r="12">
      <c r="A12" s="9" t="inlineStr">
        <is>
          <t>DB-11</t>
        </is>
      </c>
      <c r="B12" s="9" t="inlineStr">
        <is>
          <t>Validar que actor tenga el rol necesario para publicar u ofertar</t>
        </is>
      </c>
      <c r="C12" s="9" t="inlineStr">
        <is>
          <t>R</t>
        </is>
      </c>
      <c r="D12" s="9" t="inlineStr">
        <is>
          <t>Alta</t>
        </is>
      </c>
      <c r="E12" s="9" t="inlineStr">
        <is>
          <t>No iniciada</t>
        </is>
      </c>
      <c r="F12" s="9" t="inlineStr">
        <is>
          <t>Productor, comprador y transportista autorizados</t>
        </is>
      </c>
    </row>
    <row r="13">
      <c r="A13" s="9" t="inlineStr">
        <is>
          <t>DB-12</t>
        </is>
      </c>
      <c r="B13" s="9" t="inlineStr">
        <is>
          <t>Validar vehículo y transportista de cada freight bid</t>
        </is>
      </c>
      <c r="C13" s="9" t="inlineStr">
        <is>
          <t>P</t>
        </is>
      </c>
      <c r="D13" s="9" t="inlineStr">
        <is>
          <t>Alta</t>
        </is>
      </c>
      <c r="E13" s="9" t="inlineStr">
        <is>
          <t>No iniciada</t>
        </is>
      </c>
      <c r="F13" s="9" t="inlineStr">
        <is>
          <t>El vehículo pertenece al actor ofertante</t>
        </is>
      </c>
    </row>
    <row r="14">
      <c r="A14" s="9" t="inlineStr">
        <is>
          <t>DB-13</t>
        </is>
      </c>
      <c r="B14" s="9" t="inlineStr">
        <is>
          <t>Validar una sola oferta de flete aceptada por envío</t>
        </is>
      </c>
      <c r="C14" s="9" t="inlineStr">
        <is>
          <t>P</t>
        </is>
      </c>
      <c r="D14" s="9" t="inlineStr">
        <is>
          <t>Crítica</t>
        </is>
      </c>
      <c r="E14" s="9" t="inlineStr">
        <is>
          <t>No iniciada</t>
        </is>
      </c>
      <c r="F14" s="9" t="inlineStr">
        <is>
          <t>Unique y transacción garantizan exclusividad</t>
        </is>
      </c>
    </row>
    <row r="15">
      <c r="A15" s="9" t="inlineStr">
        <is>
          <t>DB-14</t>
        </is>
      </c>
      <c r="B15" s="9" t="inlineStr">
        <is>
          <t>Validar secuencia y tipos de shipment_stops</t>
        </is>
      </c>
      <c r="C15" s="9" t="inlineStr">
        <is>
          <t>P</t>
        </is>
      </c>
      <c r="D15" s="9" t="inlineStr">
        <is>
          <t>Alta</t>
        </is>
      </c>
      <c r="E15" s="9" t="inlineStr">
        <is>
          <t>No iniciada</t>
        </is>
      </c>
      <c r="F15" s="9" t="inlineStr">
        <is>
          <t>Al menos un pickup y un delivery; secuencia única</t>
        </is>
      </c>
    </row>
    <row r="16">
      <c r="A16" s="9" t="inlineStr">
        <is>
          <t>DB-15</t>
        </is>
      </c>
      <c r="B16" s="9" t="inlineStr">
        <is>
          <t>Separar datos públicos y ubicación exacta</t>
        </is>
      </c>
      <c r="C16" s="9" t="inlineStr">
        <is>
          <t>R</t>
        </is>
      </c>
      <c r="D16" s="9" t="inlineStr">
        <is>
          <t>Crítica</t>
        </is>
      </c>
      <c r="E16" s="9" t="inlineStr">
        <is>
          <t>No iniciada</t>
        </is>
      </c>
      <c r="F16" s="9" t="inlineStr">
        <is>
          <t>Marketplace usa ubicación aproximada</t>
        </is>
      </c>
    </row>
    <row r="17">
      <c r="A17" s="9" t="inlineStr">
        <is>
          <t>DB-16</t>
        </is>
      </c>
      <c r="B17" s="9" t="inlineStr">
        <is>
          <t>Revisar enums frente a estados usados en frontend</t>
        </is>
      </c>
      <c r="C17" s="9" t="inlineStr">
        <is>
          <t>M</t>
        </is>
      </c>
      <c r="D17" s="9" t="inlineStr">
        <is>
          <t>Alta</t>
        </is>
      </c>
      <c r="E17" s="9" t="inlineStr">
        <is>
          <t>No iniciada</t>
        </is>
      </c>
      <c r="F17" s="9" t="inlineStr">
        <is>
          <t>Tipos TypeScript y PostgreSQL coinciden</t>
        </is>
      </c>
    </row>
    <row r="18">
      <c r="A18" s="9" t="inlineStr">
        <is>
          <t>DB-17</t>
        </is>
      </c>
      <c r="B18" s="9" t="inlineStr">
        <is>
          <t>Crear migración de seed idempotente</t>
        </is>
      </c>
      <c r="C18" s="9" t="inlineStr">
        <is>
          <t>R</t>
        </is>
      </c>
      <c r="D18" s="9" t="inlineStr">
        <is>
          <t>Alta</t>
        </is>
      </c>
      <c r="E18" s="9" t="inlineStr">
        <is>
          <t>No iniciada</t>
        </is>
      </c>
      <c r="F18" s="9" t="inlineStr">
        <is>
          <t>Puede ejecutarse más de una vez</t>
        </is>
      </c>
    </row>
    <row r="19">
      <c r="A19" s="9" t="inlineStr">
        <is>
          <t>DB-18</t>
        </is>
      </c>
      <c r="B19" s="9" t="inlineStr">
        <is>
          <t>Agregar pruebas SQL de RLS y negociación</t>
        </is>
      </c>
      <c r="C19" s="9" t="inlineStr">
        <is>
          <t>R</t>
        </is>
      </c>
      <c r="D19" s="9" t="inlineStr">
        <is>
          <t>Crítica</t>
        </is>
      </c>
      <c r="E19" s="9" t="inlineStr">
        <is>
          <t>No iniciada</t>
        </is>
      </c>
      <c r="F19" s="9" t="inlineStr">
        <is>
          <t>Casos positivos y negativos documentados</t>
        </is>
      </c>
    </row>
    <row r="20">
      <c r="A20" s="9" t="inlineStr">
        <is>
          <t>DB-19</t>
        </is>
      </c>
      <c r="B20" s="9" t="inlineStr">
        <is>
          <t>Revisar tablas de análisis para aceptar OPENAI, RULE_ENGINE y MANUAL</t>
        </is>
      </c>
      <c r="C20" s="9" t="inlineStr">
        <is>
          <t>P</t>
        </is>
      </c>
      <c r="D20" s="9" t="inlineStr">
        <is>
          <t>Alta</t>
        </is>
      </c>
      <c r="E20" s="9" t="inlineStr">
        <is>
          <t>No iniciada</t>
        </is>
      </c>
      <c r="F20" s="9" t="inlineStr">
        <is>
          <t>No existe GEMINI en proveedor</t>
        </is>
      </c>
    </row>
    <row r="21" ht="15.75" customHeight="1" s="15">
      <c r="A21" s="9" t="inlineStr">
        <is>
          <t>DB-20</t>
        </is>
      </c>
      <c r="B21" s="9" t="inlineStr">
        <is>
          <t>Crear archivo all-in-one solo después de validar scripts individuales</t>
        </is>
      </c>
      <c r="C21" s="9" t="inlineStr">
        <is>
          <t>R</t>
        </is>
      </c>
      <c r="D21" s="9" t="inlineStr">
        <is>
          <t>Media</t>
        </is>
      </c>
      <c r="E21" s="9" t="inlineStr">
        <is>
          <t>No iniciada</t>
        </is>
      </c>
      <c r="F21" s="9" t="inlineStr">
        <is>
          <t>Combinado coincide con migraciones finales</t>
        </is>
      </c>
    </row>
    <row r="22" ht="15.75" customHeight="1" s="15"/>
    <row r="23" ht="15.75" customHeight="1" s="15"/>
    <row r="24" ht="15.75" customHeight="1" s="15"/>
    <row r="25" ht="15.75" customHeight="1" s="15"/>
    <row r="26" ht="15.75" customHeight="1" s="15"/>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dataValidations count="2">
    <dataValidation sqref="C2:C21" showDropDown="0" showInputMessage="0" showErrorMessage="0" allowBlank="1" type="list">
      <formula1>"D,M,P,R"</formula1>
    </dataValidation>
    <dataValidation sqref="E2:E21" showDropDown="0" showInputMessage="0" showErrorMessage="0" allowBlank="1" type="list">
      <formula1>"No iniciada,En progreso,Bloqueada,En revisión,Completada"</formula1>
    </dataValidation>
  </dataValidations>
  <pageMargins left="0.7" right="0.7" top="0.75" bottom="0.75" header="0" footer="0"/>
  <pageSetup orientation="landscape"/>
  <tableParts count="1">
    <tablePart xmlns:r="http://schemas.openxmlformats.org/officeDocument/2006/relationships" r:id="rId1"/>
  </tableParts>
</worksheet>
</file>

<file path=xl/worksheets/sheet6.xml><?xml version="1.0" encoding="utf-8"?>
<worksheet xmlns="http://schemas.openxmlformats.org/spreadsheetml/2006/main">
  <sheetPr>
    <outlinePr summaryBelow="1" summaryRight="1"/>
    <pageSetUpPr/>
  </sheetPr>
  <dimension ref="A1:E47"/>
  <sheetViews>
    <sheetView workbookViewId="0">
      <selection activeCell="A1" sqref="A1"/>
    </sheetView>
  </sheetViews>
  <sheetFormatPr baseColWidth="8" defaultColWidth="12.63" defaultRowHeight="15" customHeight="1"/>
  <cols>
    <col width="10" customWidth="1" style="15" min="1" max="1"/>
    <col width="40" customWidth="1" style="15" min="2" max="2"/>
    <col width="12" customWidth="1" style="15" min="3" max="5"/>
    <col width="8.630000000000001" customWidth="1" style="15" min="6" max="26"/>
  </cols>
  <sheetData>
    <row r="1">
      <c r="A1" s="13" t="inlineStr">
        <is>
          <t>ID</t>
        </is>
      </c>
      <c r="B1" s="13" t="inlineStr">
        <is>
          <t>Pantalla/Grupo</t>
        </is>
      </c>
      <c r="C1" s="13" t="inlineStr">
        <is>
          <t>Responsable</t>
        </is>
      </c>
      <c r="D1" s="13" t="inlineStr">
        <is>
          <t>Sprint</t>
        </is>
      </c>
      <c r="E1" s="13" t="inlineStr">
        <is>
          <t>Prioridad</t>
        </is>
      </c>
    </row>
    <row r="2">
      <c r="A2" s="14" t="inlineStr">
        <is>
          <t>UI-01</t>
        </is>
      </c>
      <c r="B2" s="14" t="inlineStr">
        <is>
          <t>Design System</t>
        </is>
      </c>
      <c r="C2" s="14" t="inlineStr">
        <is>
          <t>D</t>
        </is>
      </c>
      <c r="D2" s="14" t="inlineStr">
        <is>
          <t>Sprint 0</t>
        </is>
      </c>
      <c r="E2" s="14" t="inlineStr">
        <is>
          <t>Crítica</t>
        </is>
      </c>
    </row>
    <row r="3">
      <c r="A3" s="14" t="inlineStr">
        <is>
          <t>UI-02</t>
        </is>
      </c>
      <c r="B3" s="14" t="inlineStr">
        <is>
          <t>Landing</t>
        </is>
      </c>
      <c r="C3" s="14" t="inlineStr">
        <is>
          <t>D</t>
        </is>
      </c>
      <c r="D3" s="14" t="inlineStr">
        <is>
          <t>Sprint 1</t>
        </is>
      </c>
      <c r="E3" s="14" t="inlineStr">
        <is>
          <t>Alta</t>
        </is>
      </c>
    </row>
    <row r="4">
      <c r="A4" s="14" t="inlineStr">
        <is>
          <t>UI-03</t>
        </is>
      </c>
      <c r="B4" s="14" t="inlineStr">
        <is>
          <t>Login y registro</t>
        </is>
      </c>
      <c r="C4" s="14" t="inlineStr">
        <is>
          <t>D</t>
        </is>
      </c>
      <c r="D4" s="14" t="inlineStr">
        <is>
          <t>Sprint 1</t>
        </is>
      </c>
      <c r="E4" s="14" t="inlineStr">
        <is>
          <t>Crítica</t>
        </is>
      </c>
    </row>
    <row r="5">
      <c r="A5" s="14" t="inlineStr">
        <is>
          <t>UI-04</t>
        </is>
      </c>
      <c r="B5" s="14" t="inlineStr">
        <is>
          <t>Selección de rol</t>
        </is>
      </c>
      <c r="C5" s="14" t="inlineStr">
        <is>
          <t>D</t>
        </is>
      </c>
      <c r="D5" s="14" t="inlineStr">
        <is>
          <t>Sprint 1</t>
        </is>
      </c>
      <c r="E5" s="14" t="inlineStr">
        <is>
          <t>Crítica</t>
        </is>
      </c>
    </row>
    <row r="6">
      <c r="A6" s="14" t="inlineStr">
        <is>
          <t>UI-05</t>
        </is>
      </c>
      <c r="B6" s="14" t="inlineStr">
        <is>
          <t>Onboarding productor</t>
        </is>
      </c>
      <c r="C6" s="14" t="inlineStr">
        <is>
          <t>D</t>
        </is>
      </c>
      <c r="D6" s="14" t="inlineStr">
        <is>
          <t>Sprint 1</t>
        </is>
      </c>
      <c r="E6" s="14" t="inlineStr">
        <is>
          <t>Alta</t>
        </is>
      </c>
    </row>
    <row r="7">
      <c r="A7" s="14" t="inlineStr">
        <is>
          <t>UI-06</t>
        </is>
      </c>
      <c r="B7" s="14" t="inlineStr">
        <is>
          <t>Onboarding comprador</t>
        </is>
      </c>
      <c r="C7" s="14" t="inlineStr">
        <is>
          <t>D</t>
        </is>
      </c>
      <c r="D7" s="14" t="inlineStr">
        <is>
          <t>Sprint 1</t>
        </is>
      </c>
      <c r="E7" s="14" t="inlineStr">
        <is>
          <t>Alta</t>
        </is>
      </c>
    </row>
    <row r="8">
      <c r="A8" s="14" t="inlineStr">
        <is>
          <t>UI-07</t>
        </is>
      </c>
      <c r="B8" s="14" t="inlineStr">
        <is>
          <t>Onboarding transportista</t>
        </is>
      </c>
      <c r="C8" s="14" t="inlineStr">
        <is>
          <t>D</t>
        </is>
      </c>
      <c r="D8" s="14" t="inlineStr">
        <is>
          <t>Sprint 1</t>
        </is>
      </c>
      <c r="E8" s="14" t="inlineStr">
        <is>
          <t>Alta</t>
        </is>
      </c>
    </row>
    <row r="9">
      <c r="A9" s="14" t="inlineStr">
        <is>
          <t>UI-08</t>
        </is>
      </c>
      <c r="B9" s="14" t="inlineStr">
        <is>
          <t>Dashboard productor</t>
        </is>
      </c>
      <c r="C9" s="14" t="inlineStr">
        <is>
          <t>D</t>
        </is>
      </c>
      <c r="D9" s="14" t="inlineStr">
        <is>
          <t>Sprint 3</t>
        </is>
      </c>
      <c r="E9" s="14" t="inlineStr">
        <is>
          <t>Media</t>
        </is>
      </c>
    </row>
    <row r="10">
      <c r="A10" s="14" t="inlineStr">
        <is>
          <t>UI-09</t>
        </is>
      </c>
      <c r="B10" s="14" t="inlineStr">
        <is>
          <t>Dashboard comprador</t>
        </is>
      </c>
      <c r="C10" s="14" t="inlineStr">
        <is>
          <t>D</t>
        </is>
      </c>
      <c r="D10" s="14" t="inlineStr">
        <is>
          <t>Sprint 3</t>
        </is>
      </c>
      <c r="E10" s="14" t="inlineStr">
        <is>
          <t>Media</t>
        </is>
      </c>
    </row>
    <row r="11">
      <c r="A11" s="14" t="inlineStr">
        <is>
          <t>UI-10</t>
        </is>
      </c>
      <c r="B11" s="14" t="inlineStr">
        <is>
          <t>Dashboard transportista</t>
        </is>
      </c>
      <c r="C11" s="14" t="inlineStr">
        <is>
          <t>D</t>
        </is>
      </c>
      <c r="D11" s="14" t="inlineStr">
        <is>
          <t>Sprint 3</t>
        </is>
      </c>
      <c r="E11" s="14" t="inlineStr">
        <is>
          <t>Media</t>
        </is>
      </c>
    </row>
    <row r="12">
      <c r="A12" s="14" t="inlineStr">
        <is>
          <t>UI-11</t>
        </is>
      </c>
      <c r="B12" s="14" t="inlineStr">
        <is>
          <t>Marketplace cuadrícula</t>
        </is>
      </c>
      <c r="C12" s="14" t="inlineStr">
        <is>
          <t>D</t>
        </is>
      </c>
      <c r="D12" s="14" t="inlineStr">
        <is>
          <t>Sprint 1</t>
        </is>
      </c>
      <c r="E12" s="14" t="inlineStr">
        <is>
          <t>Crítica</t>
        </is>
      </c>
    </row>
    <row r="13">
      <c r="A13" s="14" t="inlineStr">
        <is>
          <t>UI-12</t>
        </is>
      </c>
      <c r="B13" s="14" t="inlineStr">
        <is>
          <t>Marketplace mapa</t>
        </is>
      </c>
      <c r="C13" s="14" t="inlineStr">
        <is>
          <t>D</t>
        </is>
      </c>
      <c r="D13" s="14" t="inlineStr">
        <is>
          <t>Sprint 3</t>
        </is>
      </c>
      <c r="E13" s="14" t="inlineStr">
        <is>
          <t>Alta</t>
        </is>
      </c>
    </row>
    <row r="14">
      <c r="A14" s="14" t="inlineStr">
        <is>
          <t>UI-13</t>
        </is>
      </c>
      <c r="B14" s="14" t="inlineStr">
        <is>
          <t>Detalle de producto</t>
        </is>
      </c>
      <c r="C14" s="14" t="inlineStr">
        <is>
          <t>D</t>
        </is>
      </c>
      <c r="D14" s="14" t="inlineStr">
        <is>
          <t>Sprint 1</t>
        </is>
      </c>
      <c r="E14" s="14" t="inlineStr">
        <is>
          <t>Crítica</t>
        </is>
      </c>
    </row>
    <row r="15">
      <c r="A15" s="14" t="inlineStr">
        <is>
          <t>UI-14</t>
        </is>
      </c>
      <c r="B15" s="14" t="inlineStr">
        <is>
          <t>Detalle de requerimiento</t>
        </is>
      </c>
      <c r="C15" s="14" t="inlineStr">
        <is>
          <t>D</t>
        </is>
      </c>
      <c r="D15" s="14" t="inlineStr">
        <is>
          <t>Sprint 1</t>
        </is>
      </c>
      <c r="E15" s="14" t="inlineStr">
        <is>
          <t>Crítica</t>
        </is>
      </c>
    </row>
    <row r="16">
      <c r="A16" s="14" t="inlineStr">
        <is>
          <t>UI-15</t>
        </is>
      </c>
      <c r="B16" s="14" t="inlineStr">
        <is>
          <t>Publicar producto</t>
        </is>
      </c>
      <c r="C16" s="14" t="inlineStr">
        <is>
          <t>D</t>
        </is>
      </c>
      <c r="D16" s="14" t="inlineStr">
        <is>
          <t>Sprint 1</t>
        </is>
      </c>
      <c r="E16" s="14" t="inlineStr">
        <is>
          <t>Crítica</t>
        </is>
      </c>
    </row>
    <row r="17">
      <c r="A17" s="14" t="inlineStr">
        <is>
          <t>UI-16</t>
        </is>
      </c>
      <c r="B17" s="14" t="inlineStr">
        <is>
          <t>Publicar requerimiento</t>
        </is>
      </c>
      <c r="C17" s="14" t="inlineStr">
        <is>
          <t>D</t>
        </is>
      </c>
      <c r="D17" s="14" t="inlineStr">
        <is>
          <t>Sprint 1</t>
        </is>
      </c>
      <c r="E17" s="14" t="inlineStr">
        <is>
          <t>Crítica</t>
        </is>
      </c>
    </row>
    <row r="18">
      <c r="A18" s="14" t="inlineStr">
        <is>
          <t>UI-17</t>
        </is>
      </c>
      <c r="B18" s="14" t="inlineStr">
        <is>
          <t>Modal oferta rápida</t>
        </is>
      </c>
      <c r="C18" s="14" t="inlineStr">
        <is>
          <t>D</t>
        </is>
      </c>
      <c r="D18" s="14" t="inlineStr">
        <is>
          <t>Sprint 2</t>
        </is>
      </c>
      <c r="E18" s="14" t="inlineStr">
        <is>
          <t>Crítica</t>
        </is>
      </c>
    </row>
    <row r="19">
      <c r="A19" s="14" t="inlineStr">
        <is>
          <t>UI-18</t>
        </is>
      </c>
      <c r="B19" s="14" t="inlineStr">
        <is>
          <t>Oferta rechazada/aceptada</t>
        </is>
      </c>
      <c r="C19" s="14" t="inlineStr">
        <is>
          <t>D</t>
        </is>
      </c>
      <c r="D19" s="14" t="inlineStr">
        <is>
          <t>Sprint 2</t>
        </is>
      </c>
      <c r="E19" s="14" t="inlineStr">
        <is>
          <t>Crítica</t>
        </is>
      </c>
    </row>
    <row r="20">
      <c r="A20" s="14" t="inlineStr">
        <is>
          <t>UI-19</t>
        </is>
      </c>
      <c r="B20" s="14" t="inlineStr">
        <is>
          <t>Bandeja de conversaciones</t>
        </is>
      </c>
      <c r="C20" s="14" t="inlineStr">
        <is>
          <t>D</t>
        </is>
      </c>
      <c r="D20" s="14" t="inlineStr">
        <is>
          <t>Sprint 2</t>
        </is>
      </c>
      <c r="E20" s="14" t="inlineStr">
        <is>
          <t>Alta</t>
        </is>
      </c>
    </row>
    <row r="21" ht="15.75" customHeight="1" s="15">
      <c r="A21" s="14" t="inlineStr">
        <is>
          <t>UI-20</t>
        </is>
      </c>
      <c r="B21" s="14" t="inlineStr">
        <is>
          <t>Sala de negociación</t>
        </is>
      </c>
      <c r="C21" s="14" t="inlineStr">
        <is>
          <t>D</t>
        </is>
      </c>
      <c r="D21" s="14" t="inlineStr">
        <is>
          <t>Sprint 2</t>
        </is>
      </c>
      <c r="E21" s="14" t="inlineStr">
        <is>
          <t>Crítica</t>
        </is>
      </c>
    </row>
    <row r="22" ht="15.75" customHeight="1" s="15">
      <c r="A22" s="14" t="inlineStr">
        <is>
          <t>UI-21</t>
        </is>
      </c>
      <c r="B22" s="14" t="inlineStr">
        <is>
          <t>Propuesta estructurada</t>
        </is>
      </c>
      <c r="C22" s="14" t="inlineStr">
        <is>
          <t>D</t>
        </is>
      </c>
      <c r="D22" s="14" t="inlineStr">
        <is>
          <t>Sprint 2</t>
        </is>
      </c>
      <c r="E22" s="14" t="inlineStr">
        <is>
          <t>Crítica</t>
        </is>
      </c>
    </row>
    <row r="23" ht="15.75" customHeight="1" s="15">
      <c r="A23" s="14" t="inlineStr">
        <is>
          <t>UI-22</t>
        </is>
      </c>
      <c r="B23" s="14" t="inlineStr">
        <is>
          <t>Selección de productores</t>
        </is>
      </c>
      <c r="C23" s="14" t="inlineStr">
        <is>
          <t>D</t>
        </is>
      </c>
      <c r="D23" s="14" t="inlineStr">
        <is>
          <t>Sprint 2</t>
        </is>
      </c>
      <c r="E23" s="14" t="inlineStr">
        <is>
          <t>Alta</t>
        </is>
      </c>
    </row>
    <row r="24" ht="15.75" customHeight="1" s="15">
      <c r="A24" s="14" t="inlineStr">
        <is>
          <t>UI-23</t>
        </is>
      </c>
      <c r="B24" s="14" t="inlineStr">
        <is>
          <t>Resumen y detalle de orden</t>
        </is>
      </c>
      <c r="C24" s="14" t="inlineStr">
        <is>
          <t>D</t>
        </is>
      </c>
      <c r="D24" s="14" t="inlineStr">
        <is>
          <t>Sprint 2</t>
        </is>
      </c>
      <c r="E24" s="14" t="inlineStr">
        <is>
          <t>Alta</t>
        </is>
      </c>
    </row>
    <row r="25" ht="15.75" customHeight="1" s="15">
      <c r="A25" s="14" t="inlineStr">
        <is>
          <t>UI-24</t>
        </is>
      </c>
      <c r="B25" s="14" t="inlineStr">
        <is>
          <t>Selector de logística</t>
        </is>
      </c>
      <c r="C25" s="14" t="inlineStr">
        <is>
          <t>D</t>
        </is>
      </c>
      <c r="D25" s="14" t="inlineStr">
        <is>
          <t>Sprint 2</t>
        </is>
      </c>
      <c r="E25" s="14" t="inlineStr">
        <is>
          <t>Crítica</t>
        </is>
      </c>
    </row>
    <row r="26" ht="15.75" customHeight="1" s="15">
      <c r="A26" s="14" t="inlineStr">
        <is>
          <t>UI-25</t>
        </is>
      </c>
      <c r="B26" s="14" t="inlineStr">
        <is>
          <t>Crear solicitud de flete</t>
        </is>
      </c>
      <c r="C26" s="14" t="inlineStr">
        <is>
          <t>D</t>
        </is>
      </c>
      <c r="D26" s="14" t="inlineStr">
        <is>
          <t>Sprint 2</t>
        </is>
      </c>
      <c r="E26" s="14" t="inlineStr">
        <is>
          <t>Crítica</t>
        </is>
      </c>
    </row>
    <row r="27" ht="15.75" customHeight="1" s="15">
      <c r="A27" s="14" t="inlineStr">
        <is>
          <t>UI-26</t>
        </is>
      </c>
      <c r="B27" s="14" t="inlineStr">
        <is>
          <t>Marketplace de cargas</t>
        </is>
      </c>
      <c r="C27" s="14" t="inlineStr">
        <is>
          <t>D</t>
        </is>
      </c>
      <c r="D27" s="14" t="inlineStr">
        <is>
          <t>Sprint 2</t>
        </is>
      </c>
      <c r="E27" s="14" t="inlineStr">
        <is>
          <t>Crítica</t>
        </is>
      </c>
    </row>
    <row r="28" ht="15.75" customHeight="1" s="15">
      <c r="A28" s="14" t="inlineStr">
        <is>
          <t>UI-27</t>
        </is>
      </c>
      <c r="B28" s="14" t="inlineStr">
        <is>
          <t>Detalle de carga</t>
        </is>
      </c>
      <c r="C28" s="14" t="inlineStr">
        <is>
          <t>D</t>
        </is>
      </c>
      <c r="D28" s="14" t="inlineStr">
        <is>
          <t>Sprint 2</t>
        </is>
      </c>
      <c r="E28" s="14" t="inlineStr">
        <is>
          <t>Crítica</t>
        </is>
      </c>
    </row>
    <row r="29" ht="15.75" customHeight="1" s="15">
      <c r="A29" s="14" t="inlineStr">
        <is>
          <t>UI-28</t>
        </is>
      </c>
      <c r="B29" s="14" t="inlineStr">
        <is>
          <t>Enviar oferta de flete</t>
        </is>
      </c>
      <c r="C29" s="14" t="inlineStr">
        <is>
          <t>D</t>
        </is>
      </c>
      <c r="D29" s="14" t="inlineStr">
        <is>
          <t>Sprint 2</t>
        </is>
      </c>
      <c r="E29" s="14" t="inlineStr">
        <is>
          <t>Alta</t>
        </is>
      </c>
    </row>
    <row r="30" ht="15.75" customHeight="1" s="15">
      <c r="A30" s="14" t="inlineStr">
        <is>
          <t>UI-29</t>
        </is>
      </c>
      <c r="B30" s="14" t="inlineStr">
        <is>
          <t>Comparar transportistas</t>
        </is>
      </c>
      <c r="C30" s="14" t="inlineStr">
        <is>
          <t>D</t>
        </is>
      </c>
      <c r="D30" s="14" t="inlineStr">
        <is>
          <t>Sprint 2</t>
        </is>
      </c>
      <c r="E30" s="14" t="inlineStr">
        <is>
          <t>Crítica</t>
        </is>
      </c>
    </row>
    <row r="31" ht="15.75" customHeight="1" s="15">
      <c r="A31" s="14" t="inlineStr">
        <is>
          <t>UI-30</t>
        </is>
      </c>
      <c r="B31" s="14" t="inlineStr">
        <is>
          <t>Perfil transportista/empresa</t>
        </is>
      </c>
      <c r="C31" s="14" t="inlineStr">
        <is>
          <t>D</t>
        </is>
      </c>
      <c r="D31" s="14" t="inlineStr">
        <is>
          <t>Sprint 3</t>
        </is>
      </c>
      <c r="E31" s="14" t="inlineStr">
        <is>
          <t>Media</t>
        </is>
      </c>
    </row>
    <row r="32" ht="15.75" customHeight="1" s="15">
      <c r="A32" s="14" t="inlineStr">
        <is>
          <t>UI-31</t>
        </is>
      </c>
      <c r="B32" s="14" t="inlineStr">
        <is>
          <t>Detalle de vehículo</t>
        </is>
      </c>
      <c r="C32" s="14" t="inlineStr">
        <is>
          <t>D</t>
        </is>
      </c>
      <c r="D32" s="14" t="inlineStr">
        <is>
          <t>Sprint 3</t>
        </is>
      </c>
      <c r="E32" s="14" t="inlineStr">
        <is>
          <t>Media</t>
        </is>
      </c>
    </row>
    <row r="33" ht="15.75" customHeight="1" s="15">
      <c r="A33" s="14" t="inlineStr">
        <is>
          <t>UI-32</t>
        </is>
      </c>
      <c r="B33" s="14" t="inlineStr">
        <is>
          <t>Detalle de riesgo</t>
        </is>
      </c>
      <c r="C33" s="14" t="inlineStr">
        <is>
          <t>D</t>
        </is>
      </c>
      <c r="D33" s="14" t="inlineStr">
        <is>
          <t>Sprint 3</t>
        </is>
      </c>
      <c r="E33" s="14" t="inlineStr">
        <is>
          <t>Crítica</t>
        </is>
      </c>
    </row>
    <row r="34" ht="15.75" customHeight="1" s="15">
      <c r="A34" s="14" t="inlineStr">
        <is>
          <t>UI-33</t>
        </is>
      </c>
      <c r="B34" s="14" t="inlineStr">
        <is>
          <t>Mapa y ruta</t>
        </is>
      </c>
      <c r="C34" s="14" t="inlineStr">
        <is>
          <t>D</t>
        </is>
      </c>
      <c r="D34" s="14" t="inlineStr">
        <is>
          <t>Sprint 3</t>
        </is>
      </c>
      <c r="E34" s="14" t="inlineStr">
        <is>
          <t>Crítica</t>
        </is>
      </c>
    </row>
    <row r="35" ht="15.75" customHeight="1" s="15">
      <c r="A35" s="14" t="inlineStr">
        <is>
          <t>UI-34</t>
        </is>
      </c>
      <c r="B35" s="14" t="inlineStr">
        <is>
          <t>Seguimiento de viaje</t>
        </is>
      </c>
      <c r="C35" s="14" t="inlineStr">
        <is>
          <t>D</t>
        </is>
      </c>
      <c r="D35" s="14" t="inlineStr">
        <is>
          <t>Sprint 3</t>
        </is>
      </c>
      <c r="E35" s="14" t="inlineStr">
        <is>
          <t>Alta</t>
        </is>
      </c>
    </row>
    <row r="36" ht="15.75" customHeight="1" s="15">
      <c r="A36" s="14" t="inlineStr">
        <is>
          <t>UI-35</t>
        </is>
      </c>
      <c r="B36" s="14" t="inlineStr">
        <is>
          <t>Registrar recojo</t>
        </is>
      </c>
      <c r="C36" s="14" t="inlineStr">
        <is>
          <t>D</t>
        </is>
      </c>
      <c r="D36" s="14" t="inlineStr">
        <is>
          <t>Sprint 3</t>
        </is>
      </c>
      <c r="E36" s="14" t="inlineStr">
        <is>
          <t>Alta</t>
        </is>
      </c>
    </row>
    <row r="37" ht="15.75" customHeight="1" s="15">
      <c r="A37" s="14" t="inlineStr">
        <is>
          <t>UI-36</t>
        </is>
      </c>
      <c r="B37" s="14" t="inlineStr">
        <is>
          <t>Registrar entrega</t>
        </is>
      </c>
      <c r="C37" s="14" t="inlineStr">
        <is>
          <t>D</t>
        </is>
      </c>
      <c r="D37" s="14" t="inlineStr">
        <is>
          <t>Sprint 3</t>
        </is>
      </c>
      <c r="E37" s="14" t="inlineStr">
        <is>
          <t>Alta</t>
        </is>
      </c>
    </row>
    <row r="38" ht="15.75" customHeight="1" s="15">
      <c r="A38" s="14" t="inlineStr">
        <is>
          <t>UI-37</t>
        </is>
      </c>
      <c r="B38" s="14" t="inlineStr">
        <is>
          <t>Reportar incidencia</t>
        </is>
      </c>
      <c r="C38" s="14" t="inlineStr">
        <is>
          <t>D</t>
        </is>
      </c>
      <c r="D38" s="14" t="inlineStr">
        <is>
          <t>Sprint 3</t>
        </is>
      </c>
      <c r="E38" s="14" t="inlineStr">
        <is>
          <t>Media</t>
        </is>
      </c>
    </row>
    <row r="39" ht="15.75" customHeight="1" s="15">
      <c r="A39" s="14" t="inlineStr">
        <is>
          <t>UI-38</t>
        </is>
      </c>
      <c r="B39" s="14" t="inlineStr">
        <is>
          <t>Perfiles públicos</t>
        </is>
      </c>
      <c r="C39" s="14" t="inlineStr">
        <is>
          <t>D</t>
        </is>
      </c>
      <c r="D39" s="14" t="inlineStr">
        <is>
          <t>Sprint 3</t>
        </is>
      </c>
      <c r="E39" s="14" t="inlineStr">
        <is>
          <t>Media</t>
        </is>
      </c>
    </row>
    <row r="40" ht="15.75" customHeight="1" s="15">
      <c r="A40" s="14" t="inlineStr">
        <is>
          <t>UI-39</t>
        </is>
      </c>
      <c r="B40" s="14" t="inlineStr">
        <is>
          <t>Notificaciones</t>
        </is>
      </c>
      <c r="C40" s="14" t="inlineStr">
        <is>
          <t>D</t>
        </is>
      </c>
      <c r="D40" s="14" t="inlineStr">
        <is>
          <t>Sprint 3</t>
        </is>
      </c>
      <c r="E40" s="14" t="inlineStr">
        <is>
          <t>Media</t>
        </is>
      </c>
    </row>
    <row r="41" ht="15.75" customHeight="1" s="15">
      <c r="A41" s="14" t="inlineStr">
        <is>
          <t>UI-40</t>
        </is>
      </c>
      <c r="B41" s="14" t="inlineStr">
        <is>
          <t>Configuración</t>
        </is>
      </c>
      <c r="C41" s="14" t="inlineStr">
        <is>
          <t>D</t>
        </is>
      </c>
      <c r="D41" s="14" t="inlineStr">
        <is>
          <t>Sprint 3</t>
        </is>
      </c>
      <c r="E41" s="14" t="inlineStr">
        <is>
          <t>Baja</t>
        </is>
      </c>
    </row>
    <row r="42" ht="15.75" customHeight="1" s="15">
      <c r="A42" s="14" t="inlineStr">
        <is>
          <t>UI-41</t>
        </is>
      </c>
      <c r="B42" s="14" t="inlineStr">
        <is>
          <t>Planes y créditos</t>
        </is>
      </c>
      <c r="C42" s="14" t="inlineStr">
        <is>
          <t>D</t>
        </is>
      </c>
      <c r="D42" s="14" t="inlineStr">
        <is>
          <t>Sprint 4</t>
        </is>
      </c>
      <c r="E42" s="14" t="inlineStr">
        <is>
          <t>Baja</t>
        </is>
      </c>
    </row>
    <row r="43" ht="15.75" customHeight="1" s="15">
      <c r="A43" s="14" t="inlineStr">
        <is>
          <t>UI-42</t>
        </is>
      </c>
      <c r="B43" s="14" t="inlineStr">
        <is>
          <t>Dashboard admin</t>
        </is>
      </c>
      <c r="C43" s="14" t="inlineStr">
        <is>
          <t>D</t>
        </is>
      </c>
      <c r="D43" s="14" t="inlineStr">
        <is>
          <t>Sprint 3</t>
        </is>
      </c>
      <c r="E43" s="14" t="inlineStr">
        <is>
          <t>Media</t>
        </is>
      </c>
    </row>
    <row r="44" ht="15.75" customHeight="1" s="15">
      <c r="A44" s="14" t="inlineStr">
        <is>
          <t>UI-43</t>
        </is>
      </c>
      <c r="B44" s="14" t="inlineStr">
        <is>
          <t>Eventos de riesgo admin</t>
        </is>
      </c>
      <c r="C44" s="14" t="inlineStr">
        <is>
          <t>D</t>
        </is>
      </c>
      <c r="D44" s="14" t="inlineStr">
        <is>
          <t>Sprint 3</t>
        </is>
      </c>
      <c r="E44" s="14" t="inlineStr">
        <is>
          <t>Alta</t>
        </is>
      </c>
    </row>
    <row r="45" ht="15.75" customHeight="1" s="15">
      <c r="A45" s="14" t="inlineStr">
        <is>
          <t>UI-44</t>
        </is>
      </c>
      <c r="B45" s="14" t="inlineStr">
        <is>
          <t>Observaciones de precios admin</t>
        </is>
      </c>
      <c r="C45" s="14" t="inlineStr">
        <is>
          <t>D</t>
        </is>
      </c>
      <c r="D45" s="14" t="inlineStr">
        <is>
          <t>Sprint 3</t>
        </is>
      </c>
      <c r="E45" s="14" t="inlineStr">
        <is>
          <t>Media</t>
        </is>
      </c>
    </row>
    <row r="46" ht="15.75" customHeight="1" s="15">
      <c r="A46" s="14" t="inlineStr">
        <is>
          <t>UI-45</t>
        </is>
      </c>
      <c r="B46" s="14" t="inlineStr">
        <is>
          <t>Verificación y moderación</t>
        </is>
      </c>
      <c r="C46" s="14" t="inlineStr">
        <is>
          <t>D</t>
        </is>
      </c>
      <c r="D46" s="14" t="inlineStr">
        <is>
          <t>Sprint 4</t>
        </is>
      </c>
      <c r="E46" s="14" t="inlineStr">
        <is>
          <t>Baja</t>
        </is>
      </c>
    </row>
    <row r="47" ht="15.75" customHeight="1" s="15">
      <c r="A47" s="14" t="inlineStr">
        <is>
          <t>UI-46</t>
        </is>
      </c>
      <c r="B47" s="14" t="inlineStr">
        <is>
          <t>Loading/empty/error/offline</t>
        </is>
      </c>
      <c r="C47" s="14" t="inlineStr">
        <is>
          <t>D</t>
        </is>
      </c>
      <c r="D47" s="14" t="inlineStr">
        <is>
          <t>Sprint 3</t>
        </is>
      </c>
      <c r="E47" s="14" t="inlineStr">
        <is>
          <t>Alta</t>
        </is>
      </c>
    </row>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pageMargins left="0.7" right="0.7" top="0.75" bottom="0.75" header="0" footer="0"/>
  <pageSetup orientation="landscape"/>
  <tableParts count="1">
    <tablePart xmlns:r="http://schemas.openxmlformats.org/officeDocument/2006/relationships" r:id="rId1"/>
  </tableParts>
</worksheet>
</file>

<file path=xl/worksheets/sheet7.xml><?xml version="1.0" encoding="utf-8"?>
<worksheet xmlns="http://schemas.openxmlformats.org/spreadsheetml/2006/main">
  <sheetPr>
    <outlinePr summaryBelow="1" summaryRight="1"/>
    <pageSetUpPr/>
  </sheetPr>
  <dimension ref="A1:F15"/>
  <sheetViews>
    <sheetView workbookViewId="0">
      <selection activeCell="A1" sqref="A1"/>
    </sheetView>
  </sheetViews>
  <sheetFormatPr baseColWidth="8" defaultColWidth="12.63" defaultRowHeight="15" customHeight="1"/>
  <cols>
    <col width="10" customWidth="1" style="15" min="1" max="1"/>
    <col width="42" customWidth="1" style="15" min="2" max="2"/>
    <col width="14" customWidth="1" style="15" min="3" max="4"/>
    <col width="12" customWidth="1" style="15" min="5" max="5"/>
    <col width="54" customWidth="1" style="15" min="6" max="6"/>
    <col width="8.630000000000001" customWidth="1" style="15" min="7" max="26"/>
  </cols>
  <sheetData>
    <row r="1">
      <c r="A1" s="6" t="inlineStr">
        <is>
          <t>ID</t>
        </is>
      </c>
      <c r="B1" s="6" t="inlineStr">
        <is>
          <t>Riesgo</t>
        </is>
      </c>
      <c r="C1" s="6" t="inlineStr">
        <is>
          <t>Impacto</t>
        </is>
      </c>
      <c r="D1" s="6" t="inlineStr">
        <is>
          <t>Probabilidad</t>
        </is>
      </c>
      <c r="E1" s="6" t="inlineStr">
        <is>
          <t>Responsable</t>
        </is>
      </c>
      <c r="F1" s="6" t="inlineStr">
        <is>
          <t>Mitigación</t>
        </is>
      </c>
    </row>
    <row r="2">
      <c r="A2" s="9" t="inlineStr">
        <is>
          <t>RSK-01</t>
        </is>
      </c>
      <c r="B2" s="9" t="inlineStr">
        <is>
          <t>La base existente no ejecuta limpia</t>
        </is>
      </c>
      <c r="C2" s="9" t="inlineStr">
        <is>
          <t>Alta</t>
        </is>
      </c>
      <c r="D2" s="9" t="inlineStr">
        <is>
          <t>Alta</t>
        </is>
      </c>
      <c r="E2" s="9" t="inlineStr">
        <is>
          <t>R</t>
        </is>
      </c>
      <c r="F2" s="9" t="inlineStr">
        <is>
          <t>Auditar en Sprint 0 y migrar desde cero antes de integrar frontend</t>
        </is>
      </c>
    </row>
    <row r="3">
      <c r="A3" s="9" t="inlineStr">
        <is>
          <t>RSK-02</t>
        </is>
      </c>
      <c r="B3" s="9" t="inlineStr">
        <is>
          <t>Se expone el mínimo privado</t>
        </is>
      </c>
      <c r="C3" s="9" t="inlineStr">
        <is>
          <t>Crítica</t>
        </is>
      </c>
      <c r="D3" s="9" t="inlineStr">
        <is>
          <t>Media</t>
        </is>
      </c>
      <c r="E3" s="9" t="inlineStr">
        <is>
          <t>R</t>
        </is>
      </c>
      <c r="F3" s="9" t="inlineStr">
        <is>
          <t>RLS, RPC server-side y pruebas de red/cliente</t>
        </is>
      </c>
    </row>
    <row r="4">
      <c r="A4" s="9" t="inlineStr">
        <is>
          <t>RSK-03</t>
        </is>
      </c>
      <c r="B4" s="9" t="inlineStr">
        <is>
          <t>Venta doble por concurrencia</t>
        </is>
      </c>
      <c r="C4" s="9" t="inlineStr">
        <is>
          <t>Crítica</t>
        </is>
      </c>
      <c r="D4" s="9" t="inlineStr">
        <is>
          <t>Media</t>
        </is>
      </c>
      <c r="E4" s="9" t="inlineStr">
        <is>
          <t>R</t>
        </is>
      </c>
      <c r="F4" s="9" t="inlineStr">
        <is>
          <t>Row lock y prueba con solicitudes simultáneas</t>
        </is>
      </c>
    </row>
    <row r="5">
      <c r="A5" s="9" t="inlineStr">
        <is>
          <t>RSK-04</t>
        </is>
      </c>
      <c r="B5" s="9" t="inlineStr">
        <is>
          <t>Marketplace vacío en la demo</t>
        </is>
      </c>
      <c r="C5" s="9" t="inlineStr">
        <is>
          <t>Alta</t>
        </is>
      </c>
      <c r="D5" s="9" t="inlineStr">
        <is>
          <t>Alta</t>
        </is>
      </c>
      <c r="E5" s="9" t="inlineStr">
        <is>
          <t>M</t>
        </is>
      </c>
      <c r="F5" s="9" t="inlineStr">
        <is>
          <t>Seed completo y cuentas preparadas</t>
        </is>
      </c>
    </row>
    <row r="6">
      <c r="A6" s="9" t="inlineStr">
        <is>
          <t>RSK-05</t>
        </is>
      </c>
      <c r="B6" s="9" t="inlineStr">
        <is>
          <t>OpenAI o búsqueda web falla</t>
        </is>
      </c>
      <c r="C6" s="9" t="inlineStr">
        <is>
          <t>Alta</t>
        </is>
      </c>
      <c r="D6" s="9" t="inlineStr">
        <is>
          <t>Media</t>
        </is>
      </c>
      <c r="E6" s="9" t="inlineStr">
        <is>
          <t>P</t>
        </is>
      </c>
      <c r="F6" s="9" t="inlineStr">
        <is>
          <t>Caché, eventos semilla y fallback manual</t>
        </is>
      </c>
    </row>
    <row r="7">
      <c r="A7" s="9" t="inlineStr">
        <is>
          <t>RSK-06</t>
        </is>
      </c>
      <c r="B7" s="9" t="inlineStr">
        <is>
          <t>Mapbox falla o no carga</t>
        </is>
      </c>
      <c r="C7" s="9" t="inlineStr">
        <is>
          <t>Alta</t>
        </is>
      </c>
      <c r="D7" s="9" t="inlineStr">
        <is>
          <t>Baja</t>
        </is>
      </c>
      <c r="E7" s="9" t="inlineStr">
        <is>
          <t>P</t>
        </is>
      </c>
      <c r="F7" s="9" t="inlineStr">
        <is>
          <t>Ruta guardada y captura de respaldo</t>
        </is>
      </c>
    </row>
    <row r="8">
      <c r="A8" s="9" t="inlineStr">
        <is>
          <t>RSK-07</t>
        </is>
      </c>
      <c r="B8" s="9" t="inlineStr">
        <is>
          <t>Demasiadas pantallas para el tiempo</t>
        </is>
      </c>
      <c r="C8" s="9" t="inlineStr">
        <is>
          <t>Alta</t>
        </is>
      </c>
      <c r="D8" s="9" t="inlineStr">
        <is>
          <t>Alta</t>
        </is>
      </c>
      <c r="E8" s="9" t="inlineStr">
        <is>
          <t>D</t>
        </is>
      </c>
      <c r="F8" s="9" t="inlineStr">
        <is>
          <t>Priorizar pantallas críticas y reutilizar componentes</t>
        </is>
      </c>
    </row>
    <row r="9">
      <c r="A9" s="9" t="inlineStr">
        <is>
          <t>RSK-08</t>
        </is>
      </c>
      <c r="B9" s="9" t="inlineStr">
        <is>
          <t>RLS bloquea operaciones válidas</t>
        </is>
      </c>
      <c r="C9" s="9" t="inlineStr">
        <is>
          <t>Alta</t>
        </is>
      </c>
      <c r="D9" s="9" t="inlineStr">
        <is>
          <t>Media</t>
        </is>
      </c>
      <c r="E9" s="9" t="inlineStr">
        <is>
          <t>R</t>
        </is>
      </c>
      <c r="F9" s="9" t="inlineStr">
        <is>
          <t>Probar cada rol antes de Sprint 2</t>
        </is>
      </c>
    </row>
    <row r="10">
      <c r="A10" s="9" t="inlineStr">
        <is>
          <t>RSK-09</t>
        </is>
      </c>
      <c r="B10" s="9" t="inlineStr">
        <is>
          <t>El equipo se bloquea por contratos inconsistentes</t>
        </is>
      </c>
      <c r="C10" s="9" t="inlineStr">
        <is>
          <t>Alta</t>
        </is>
      </c>
      <c r="D10" s="9" t="inlineStr">
        <is>
          <t>Media</t>
        </is>
      </c>
      <c r="E10" s="9" t="inlineStr">
        <is>
          <t>R</t>
        </is>
      </c>
      <c r="F10" s="9" t="inlineStr">
        <is>
          <t>Tipos compartidos en Sprint 0 y cambios por PR</t>
        </is>
      </c>
    </row>
    <row r="11">
      <c r="A11" s="9" t="inlineStr">
        <is>
          <t>RSK-10</t>
        </is>
      </c>
      <c r="B11" s="9" t="inlineStr">
        <is>
          <t>Negociación conversacional se vuelve compleja</t>
        </is>
      </c>
      <c r="C11" s="9" t="inlineStr">
        <is>
          <t>Media</t>
        </is>
      </c>
      <c r="D11" s="9" t="inlineStr">
        <is>
          <t>Alta</t>
        </is>
      </c>
      <c r="E11" s="9" t="inlineStr">
        <is>
          <t>M</t>
        </is>
      </c>
      <c r="F11" s="9" t="inlineStr">
        <is>
          <t>Solo texto, imágenes y propuesta estructurada en MVP</t>
        </is>
      </c>
    </row>
    <row r="12">
      <c r="A12" s="9" t="inlineStr">
        <is>
          <t>RSK-11</t>
        </is>
      </c>
      <c r="B12" s="9" t="inlineStr">
        <is>
          <t>Precio sugerido parece precio impuesto</t>
        </is>
      </c>
      <c r="C12" s="9" t="inlineStr">
        <is>
          <t>Alta</t>
        </is>
      </c>
      <c r="D12" s="9" t="inlineStr">
        <is>
          <t>Media</t>
        </is>
      </c>
      <c r="E12" s="9" t="inlineStr">
        <is>
          <t>M</t>
        </is>
      </c>
      <c r="F12" s="9" t="inlineStr">
        <is>
          <t>Usar rango, confianza y edición libre en toda la UI</t>
        </is>
      </c>
    </row>
    <row r="13">
      <c r="A13" s="9" t="inlineStr">
        <is>
          <t>RSK-12</t>
        </is>
      </c>
      <c r="B13" s="9" t="inlineStr">
        <is>
          <t>Riesgo se interpreta como reputación del productor</t>
        </is>
      </c>
      <c r="C13" s="9" t="inlineStr">
        <is>
          <t>Alta</t>
        </is>
      </c>
      <c r="D13" s="9" t="inlineStr">
        <is>
          <t>Media</t>
        </is>
      </c>
      <c r="E13" s="9" t="inlineStr">
        <is>
          <t>P</t>
        </is>
      </c>
      <c r="F13" s="9" t="inlineStr">
        <is>
          <t>Nombrar riesgo de acceso/ruta y explicar fuente</t>
        </is>
      </c>
    </row>
    <row r="14">
      <c r="A14" s="9" t="inlineStr">
        <is>
          <t>RSK-13</t>
        </is>
      </c>
      <c r="B14" s="9" t="inlineStr">
        <is>
          <t>No hay tiempo para monetización completa</t>
        </is>
      </c>
      <c r="C14" s="9" t="inlineStr">
        <is>
          <t>Baja</t>
        </is>
      </c>
      <c r="D14" s="9" t="inlineStr">
        <is>
          <t>Alta</t>
        </is>
      </c>
      <c r="E14" s="9" t="inlineStr">
        <is>
          <t>M</t>
        </is>
      </c>
      <c r="F14" s="9" t="inlineStr">
        <is>
          <t>Mostrar planes como prototipo; no implementar cobros</t>
        </is>
      </c>
    </row>
    <row r="15">
      <c r="A15" s="9" t="inlineStr">
        <is>
          <t>RSK-14</t>
        </is>
      </c>
      <c r="B15" s="9" t="inlineStr">
        <is>
          <t>Demo depende de conectividad</t>
        </is>
      </c>
      <c r="C15" s="9" t="inlineStr">
        <is>
          <t>Alta</t>
        </is>
      </c>
      <c r="D15" s="9" t="inlineStr">
        <is>
          <t>Media</t>
        </is>
      </c>
      <c r="E15" s="9" t="inlineStr">
        <is>
          <t>P</t>
        </is>
      </c>
      <c r="F15" s="9" t="inlineStr">
        <is>
          <t>Video, capturas y respuestas cacheadas</t>
        </is>
      </c>
    </row>
    <row r="21" ht="15.75" customHeight="1" s="15"/>
    <row r="22" ht="15.75" customHeight="1" s="15"/>
    <row r="23" ht="15.75" customHeight="1" s="15"/>
    <row r="24" ht="15.75" customHeight="1" s="15"/>
    <row r="25" ht="15.75" customHeight="1" s="15"/>
    <row r="26" ht="15.75" customHeight="1" s="15"/>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conditionalFormatting sqref="C2:C15">
    <cfRule type="expression" priority="1" dxfId="9">
      <formula>C2="Crítica"</formula>
    </cfRule>
    <cfRule type="expression" priority="2" dxfId="10">
      <formula>C2="Alta"</formula>
    </cfRule>
  </conditionalFormatting>
  <pageMargins left="0.7" right="0.7" top="0.75" bottom="0.75" header="0" footer="0"/>
  <pageSetup orientation="landscape"/>
  <tableParts count="1">
    <tablePart xmlns:r="http://schemas.openxmlformats.org/officeDocument/2006/relationships" r:id="rId1"/>
  </tableParts>
</worksheet>
</file>

<file path=xl/worksheets/sheet8.xml><?xml version="1.0" encoding="utf-8"?>
<worksheet xmlns="http://schemas.openxmlformats.org/spreadsheetml/2006/main">
  <sheetPr>
    <outlinePr summaryBelow="1" summaryRight="1"/>
    <pageSetUpPr/>
  </sheetPr>
  <dimension ref="A1:D8"/>
  <sheetViews>
    <sheetView workbookViewId="0">
      <selection activeCell="A1" sqref="A1"/>
    </sheetView>
  </sheetViews>
  <sheetFormatPr baseColWidth="8" defaultColWidth="12.63" defaultRowHeight="15" customHeight="1"/>
  <cols>
    <col width="18" customWidth="1" style="15" min="1" max="4"/>
    <col width="8.630000000000001" customWidth="1" style="15" min="5" max="26"/>
  </cols>
  <sheetData>
    <row r="1">
      <c r="A1" s="13" t="inlineStr">
        <is>
          <t>Status</t>
        </is>
      </c>
      <c r="B1" s="13" t="inlineStr">
        <is>
          <t>Priority</t>
        </is>
      </c>
      <c r="C1" s="13" t="inlineStr">
        <is>
          <t>Owner</t>
        </is>
      </c>
      <c r="D1" s="13" t="inlineStr">
        <is>
          <t>Sprint</t>
        </is>
      </c>
    </row>
    <row r="2">
      <c r="A2" s="14" t="inlineStr">
        <is>
          <t>No iniciada</t>
        </is>
      </c>
      <c r="B2" s="14" t="inlineStr">
        <is>
          <t>Crítica</t>
        </is>
      </c>
      <c r="C2" s="14" t="inlineStr">
        <is>
          <t>D</t>
        </is>
      </c>
      <c r="D2" s="14" t="inlineStr">
        <is>
          <t>Sprint 0</t>
        </is>
      </c>
    </row>
    <row r="3">
      <c r="A3" s="14" t="inlineStr">
        <is>
          <t>En progreso</t>
        </is>
      </c>
      <c r="B3" s="14" t="inlineStr">
        <is>
          <t>Alta</t>
        </is>
      </c>
      <c r="C3" s="14" t="inlineStr">
        <is>
          <t>M</t>
        </is>
      </c>
      <c r="D3" s="14" t="inlineStr">
        <is>
          <t>Sprint 1</t>
        </is>
      </c>
    </row>
    <row r="4">
      <c r="A4" s="14" t="inlineStr">
        <is>
          <t>Bloqueada</t>
        </is>
      </c>
      <c r="B4" s="14" t="inlineStr">
        <is>
          <t>Media</t>
        </is>
      </c>
      <c r="C4" s="14" t="inlineStr">
        <is>
          <t>P</t>
        </is>
      </c>
      <c r="D4" s="14" t="inlineStr">
        <is>
          <t>Sprint 2</t>
        </is>
      </c>
    </row>
    <row r="5">
      <c r="A5" s="14" t="inlineStr">
        <is>
          <t>En revisión</t>
        </is>
      </c>
      <c r="B5" s="14" t="inlineStr">
        <is>
          <t>Baja</t>
        </is>
      </c>
      <c r="C5" s="14" t="inlineStr">
        <is>
          <t>R</t>
        </is>
      </c>
      <c r="D5" s="14" t="inlineStr">
        <is>
          <t>Sprint 3</t>
        </is>
      </c>
    </row>
    <row r="6">
      <c r="A6" s="14" t="inlineStr">
        <is>
          <t>Completada</t>
        </is>
      </c>
      <c r="D6" s="14" t="inlineStr">
        <is>
          <t>Sprint 4</t>
        </is>
      </c>
    </row>
    <row r="7">
      <c r="A7" s="14" t="inlineStr">
        <is>
          <t>Descartada</t>
        </is>
      </c>
    </row>
    <row r="8">
      <c r="A8" s="14" t="inlineStr">
        <is>
          <t>En espera</t>
        </is>
      </c>
    </row>
    <row r="21" ht="15.75" customHeight="1" s="15"/>
    <row r="22" ht="15.75" customHeight="1" s="15"/>
    <row r="23" ht="15.75" customHeight="1" s="15"/>
    <row r="24" ht="15.75" customHeight="1" s="15"/>
    <row r="25" ht="15.75" customHeight="1" s="15"/>
    <row r="26" ht="15.75" customHeight="1" s="15"/>
    <row r="27" ht="15.75" customHeight="1" s="15"/>
    <row r="28" ht="15.75" customHeight="1" s="15"/>
    <row r="29" ht="15.75" customHeight="1" s="15"/>
    <row r="30" ht="15.75" customHeight="1" s="15"/>
    <row r="31" ht="15.75" customHeight="1" s="15"/>
    <row r="32" ht="15.75" customHeight="1" s="15"/>
    <row r="33" ht="15.75" customHeight="1" s="15"/>
    <row r="34" ht="15.75" customHeight="1" s="15"/>
    <row r="35" ht="15.75" customHeight="1" s="15"/>
    <row r="36" ht="15.75" customHeight="1" s="15"/>
    <row r="37" ht="15.75" customHeight="1" s="15"/>
    <row r="38" ht="15.75" customHeight="1" s="15"/>
    <row r="39" ht="15.75" customHeight="1" s="15"/>
    <row r="40" ht="15.75" customHeight="1" s="15"/>
    <row r="41" ht="15.75" customHeight="1" s="15"/>
    <row r="42" ht="15.75" customHeight="1" s="15"/>
    <row r="43" ht="15.75" customHeight="1" s="15"/>
    <row r="44" ht="15.75" customHeight="1" s="15"/>
    <row r="45" ht="15.75" customHeight="1" s="15"/>
    <row r="46" ht="15.75" customHeight="1" s="15"/>
    <row r="47" ht="15.75" customHeight="1" s="15"/>
    <row r="48" ht="15.75" customHeight="1" s="15"/>
    <row r="49" ht="15.75" customHeight="1" s="15"/>
    <row r="50" ht="15.75" customHeight="1" s="15"/>
    <row r="51" ht="15.75" customHeight="1" s="15"/>
    <row r="52" ht="15.75" customHeight="1" s="15"/>
    <row r="53" ht="15.75" customHeight="1" s="15"/>
    <row r="54" ht="15.75" customHeight="1" s="15"/>
    <row r="55" ht="15.75" customHeight="1" s="15"/>
    <row r="56" ht="15.75" customHeight="1" s="15"/>
    <row r="57" ht="15.75" customHeight="1" s="15"/>
    <row r="58" ht="15.75" customHeight="1" s="15"/>
    <row r="59" ht="15.75" customHeight="1" s="15"/>
    <row r="60" ht="15.75" customHeight="1" s="15"/>
    <row r="61" ht="15.75" customHeight="1" s="15"/>
    <row r="62" ht="15.75" customHeight="1" s="15"/>
    <row r="63" ht="15.75" customHeight="1" s="15"/>
    <row r="64" ht="15.75" customHeight="1" s="15"/>
    <row r="65" ht="15.75" customHeight="1" s="15"/>
    <row r="66" ht="15.75" customHeight="1" s="15"/>
    <row r="67" ht="15.75" customHeight="1" s="15"/>
    <row r="68" ht="15.75" customHeight="1" s="15"/>
    <row r="69" ht="15.75" customHeight="1" s="15"/>
    <row r="70" ht="15.75" customHeight="1" s="15"/>
    <row r="71" ht="15.75" customHeight="1" s="15"/>
    <row r="72" ht="15.75" customHeight="1" s="15"/>
    <row r="73" ht="15.75" customHeight="1" s="15"/>
    <row r="74" ht="15.75" customHeight="1" s="15"/>
    <row r="75" ht="15.75" customHeight="1" s="15"/>
    <row r="76" ht="15.75" customHeight="1" s="15"/>
    <row r="77" ht="15.75" customHeight="1" s="15"/>
    <row r="78" ht="15.75" customHeight="1" s="15"/>
    <row r="79" ht="15.75" customHeight="1" s="15"/>
    <row r="80" ht="15.75" customHeight="1" s="15"/>
    <row r="81" ht="15.75" customHeight="1" s="15"/>
    <row r="82" ht="15.75" customHeight="1" s="15"/>
    <row r="83" ht="15.75" customHeight="1" s="15"/>
    <row r="84" ht="15.75" customHeight="1" s="15"/>
    <row r="85" ht="15.75" customHeight="1" s="15"/>
    <row r="86" ht="15.75" customHeight="1" s="15"/>
    <row r="87" ht="15.75" customHeight="1" s="15"/>
    <row r="88" ht="15.75" customHeight="1" s="15"/>
    <row r="89" ht="15.75" customHeight="1" s="15"/>
    <row r="90" ht="15.75" customHeight="1" s="15"/>
    <row r="91" ht="15.75" customHeight="1" s="15"/>
    <row r="92" ht="15.75" customHeight="1" s="15"/>
    <row r="93" ht="15.75" customHeight="1" s="15"/>
    <row r="94" ht="15.75" customHeight="1" s="15"/>
    <row r="95" ht="15.75" customHeight="1" s="15"/>
    <row r="96" ht="15.75" customHeight="1" s="15"/>
    <row r="97" ht="15.75" customHeight="1" s="15"/>
    <row r="98" ht="15.75" customHeight="1" s="15"/>
    <row r="99" ht="15.75" customHeight="1" s="15"/>
    <row r="100" ht="15.75" customHeight="1" s="15"/>
    <row r="101" ht="15.75" customHeight="1" s="15"/>
    <row r="102" ht="15.75" customHeight="1" s="15"/>
    <row r="103" ht="15.75" customHeight="1" s="15"/>
    <row r="104" ht="15.75" customHeight="1" s="15"/>
    <row r="105" ht="15.75" customHeight="1" s="15"/>
    <row r="106" ht="15.75" customHeight="1" s="15"/>
    <row r="107" ht="15.75" customHeight="1" s="15"/>
    <row r="108" ht="15.75" customHeight="1" s="15"/>
    <row r="109" ht="15.75" customHeight="1" s="15"/>
    <row r="110" ht="15.75" customHeight="1" s="15"/>
    <row r="111" ht="15.75" customHeight="1" s="15"/>
    <row r="112" ht="15.75" customHeight="1" s="15"/>
    <row r="113" ht="15.75" customHeight="1" s="15"/>
    <row r="114" ht="15.75" customHeight="1" s="15"/>
    <row r="115" ht="15.75" customHeight="1" s="15"/>
    <row r="116" ht="15.75" customHeight="1" s="15"/>
    <row r="117" ht="15.75" customHeight="1" s="15"/>
    <row r="118" ht="15.75" customHeight="1" s="15"/>
    <row r="119" ht="15.75" customHeight="1" s="15"/>
    <row r="120" ht="15.75" customHeight="1" s="15"/>
    <row r="121" ht="15.75" customHeight="1" s="15"/>
    <row r="122" ht="15.75" customHeight="1" s="15"/>
    <row r="123" ht="15.75" customHeight="1" s="15"/>
    <row r="124" ht="15.75" customHeight="1" s="15"/>
    <row r="125" ht="15.75" customHeight="1" s="15"/>
    <row r="126" ht="15.75" customHeight="1" s="15"/>
    <row r="127" ht="15.75" customHeight="1" s="15"/>
    <row r="128" ht="15.75" customHeight="1" s="15"/>
    <row r="129" ht="15.75" customHeight="1" s="15"/>
    <row r="130" ht="15.75" customHeight="1" s="15"/>
    <row r="131" ht="15.75" customHeight="1" s="15"/>
    <row r="132" ht="15.75" customHeight="1" s="15"/>
    <row r="133" ht="15.75" customHeight="1" s="15"/>
    <row r="134" ht="15.75" customHeight="1" s="15"/>
    <row r="135" ht="15.75" customHeight="1" s="15"/>
    <row r="136" ht="15.75" customHeight="1" s="15"/>
    <row r="137" ht="15.75" customHeight="1" s="15"/>
    <row r="138" ht="15.75" customHeight="1" s="15"/>
    <row r="139" ht="15.75" customHeight="1" s="15"/>
    <row r="140" ht="15.75" customHeight="1" s="15"/>
    <row r="141" ht="15.75" customHeight="1" s="15"/>
    <row r="142" ht="15.75" customHeight="1" s="15"/>
    <row r="143" ht="15.75" customHeight="1" s="15"/>
    <row r="144" ht="15.75" customHeight="1" s="15"/>
    <row r="145" ht="15.75" customHeight="1" s="15"/>
    <row r="146" ht="15.75" customHeight="1" s="15"/>
    <row r="147" ht="15.75" customHeight="1" s="15"/>
    <row r="148" ht="15.75" customHeight="1" s="15"/>
    <row r="149" ht="15.75" customHeight="1" s="15"/>
    <row r="150" ht="15.75" customHeight="1" s="15"/>
    <row r="151" ht="15.75" customHeight="1" s="15"/>
    <row r="152" ht="15.75" customHeight="1" s="15"/>
    <row r="153" ht="15.75" customHeight="1" s="15"/>
    <row r="154" ht="15.75" customHeight="1" s="15"/>
    <row r="155" ht="15.75" customHeight="1" s="15"/>
    <row r="156" ht="15.75" customHeight="1" s="15"/>
    <row r="157" ht="15.75" customHeight="1" s="15"/>
    <row r="158" ht="15.75" customHeight="1" s="15"/>
    <row r="159" ht="15.75" customHeight="1" s="15"/>
    <row r="160" ht="15.75" customHeight="1" s="15"/>
    <row r="161" ht="15.75" customHeight="1" s="15"/>
    <row r="162" ht="15.75" customHeight="1" s="15"/>
    <row r="163" ht="15.75" customHeight="1" s="15"/>
    <row r="164" ht="15.75" customHeight="1" s="15"/>
    <row r="165" ht="15.75" customHeight="1" s="15"/>
    <row r="166" ht="15.75" customHeight="1" s="15"/>
    <row r="167" ht="15.75" customHeight="1" s="15"/>
    <row r="168" ht="15.75" customHeight="1" s="15"/>
    <row r="169" ht="15.75" customHeight="1" s="15"/>
    <row r="170" ht="15.75" customHeight="1" s="15"/>
    <row r="171" ht="15.75" customHeight="1" s="15"/>
    <row r="172" ht="15.75" customHeight="1" s="15"/>
    <row r="173" ht="15.75" customHeight="1" s="15"/>
    <row r="174" ht="15.75" customHeight="1" s="15"/>
    <row r="175" ht="15.75" customHeight="1" s="15"/>
    <row r="176" ht="15.75" customHeight="1" s="15"/>
    <row r="177" ht="15.75" customHeight="1" s="15"/>
    <row r="178" ht="15.75" customHeight="1" s="15"/>
    <row r="179" ht="15.75" customHeight="1" s="15"/>
    <row r="180" ht="15.75" customHeight="1" s="15"/>
    <row r="181" ht="15.75" customHeight="1" s="15"/>
    <row r="182" ht="15.75" customHeight="1" s="15"/>
    <row r="183" ht="15.75" customHeight="1" s="15"/>
    <row r="184" ht="15.75" customHeight="1" s="15"/>
    <row r="185" ht="15.75" customHeight="1" s="15"/>
    <row r="186" ht="15.75" customHeight="1" s="15"/>
    <row r="187" ht="15.75" customHeight="1" s="15"/>
    <row r="188" ht="15.75" customHeight="1" s="15"/>
    <row r="189" ht="15.75" customHeight="1" s="15"/>
    <row r="190" ht="15.75" customHeight="1" s="15"/>
    <row r="191" ht="15.75" customHeight="1" s="15"/>
    <row r="192" ht="15.75" customHeight="1" s="15"/>
    <row r="193" ht="15.75" customHeight="1" s="15"/>
    <row r="194" ht="15.75" customHeight="1" s="15"/>
    <row r="195" ht="15.75" customHeight="1" s="15"/>
    <row r="196" ht="15.75" customHeight="1" s="15"/>
    <row r="197" ht="15.75" customHeight="1" s="15"/>
    <row r="198" ht="15.75" customHeight="1" s="15"/>
    <row r="199" ht="15.75" customHeight="1" s="15"/>
    <row r="200" ht="15.75" customHeight="1" s="15"/>
    <row r="201" ht="15.75" customHeight="1" s="15"/>
    <row r="202" ht="15.75" customHeight="1" s="15"/>
    <row r="203" ht="15.75" customHeight="1" s="15"/>
    <row r="204" ht="15.75" customHeight="1" s="15"/>
    <row r="205" ht="15.75" customHeight="1" s="15"/>
    <row r="206" ht="15.75" customHeight="1" s="15"/>
    <row r="207" ht="15.75" customHeight="1" s="15"/>
    <row r="208" ht="15.75" customHeight="1" s="15"/>
    <row r="209" ht="15.75" customHeight="1" s="15"/>
    <row r="210" ht="15.75" customHeight="1" s="15"/>
    <row r="211" ht="15.75" customHeight="1" s="15"/>
    <row r="212" ht="15.75" customHeight="1" s="15"/>
    <row r="213" ht="15.75" customHeight="1" s="15"/>
    <row r="214" ht="15.75" customHeight="1" s="15"/>
    <row r="215" ht="15.75" customHeight="1" s="15"/>
    <row r="216" ht="15.75" customHeight="1" s="15"/>
    <row r="217" ht="15.75" customHeight="1" s="15"/>
    <row r="218" ht="15.75" customHeight="1" s="15"/>
    <row r="219" ht="15.75" customHeight="1" s="15"/>
    <row r="220" ht="15.75" customHeight="1" s="15"/>
    <row r="221" ht="15.75" customHeight="1" s="15"/>
    <row r="222" ht="15.75" customHeight="1" s="15"/>
    <row r="223" ht="15.75" customHeight="1" s="15"/>
    <row r="224" ht="15.75" customHeight="1" s="15"/>
    <row r="225" ht="15.75" customHeight="1" s="15"/>
    <row r="226" ht="15.75" customHeight="1" s="15"/>
    <row r="227" ht="15.75" customHeight="1" s="15"/>
    <row r="228" ht="15.75" customHeight="1" s="15"/>
    <row r="229" ht="15.75" customHeight="1" s="15"/>
    <row r="230" ht="15.75" customHeight="1" s="15"/>
    <row r="231" ht="15.75" customHeight="1" s="15"/>
    <row r="232" ht="15.75" customHeight="1" s="15"/>
    <row r="233" ht="15.75" customHeight="1" s="15"/>
    <row r="234" ht="15.75" customHeight="1" s="15"/>
    <row r="235" ht="15.75" customHeight="1" s="15"/>
    <row r="236" ht="15.75" customHeight="1" s="15"/>
    <row r="237" ht="15.75" customHeight="1" s="15"/>
    <row r="238" ht="15.75" customHeight="1" s="15"/>
    <row r="239" ht="15.75" customHeight="1" s="15"/>
    <row r="240" ht="15.75" customHeight="1" s="15"/>
    <row r="241" ht="15.75" customHeight="1" s="15"/>
    <row r="242" ht="15.75" customHeight="1" s="15"/>
    <row r="243" ht="15.75" customHeight="1" s="15"/>
    <row r="244" ht="15.75" customHeight="1" s="15"/>
    <row r="245" ht="15.75" customHeight="1" s="15"/>
    <row r="246" ht="15.75" customHeight="1" s="15"/>
    <row r="247" ht="15.75" customHeight="1" s="15"/>
    <row r="248" ht="15.75" customHeight="1" s="15"/>
    <row r="249" ht="15.75" customHeight="1" s="15"/>
    <row r="250" ht="15.75" customHeight="1" s="15"/>
    <row r="251" ht="15.75" customHeight="1" s="15"/>
    <row r="252" ht="15.75" customHeight="1" s="15"/>
    <row r="253" ht="15.75" customHeight="1" s="15"/>
    <row r="254" ht="15.75" customHeight="1" s="15"/>
    <row r="255" ht="15.75" customHeight="1" s="15"/>
    <row r="256" ht="15.75" customHeight="1" s="15"/>
    <row r="257" ht="15.75" customHeight="1" s="15"/>
    <row r="258" ht="15.75" customHeight="1" s="15"/>
    <row r="259" ht="15.75" customHeight="1" s="15"/>
    <row r="260" ht="15.75" customHeight="1" s="15"/>
    <row r="261" ht="15.75" customHeight="1" s="15"/>
    <row r="262" ht="15.75" customHeight="1" s="15"/>
    <row r="263" ht="15.75" customHeight="1" s="15"/>
    <row r="264" ht="15.75" customHeight="1" s="15"/>
    <row r="265" ht="15.75" customHeight="1" s="15"/>
    <row r="266" ht="15.75" customHeight="1" s="15"/>
    <row r="267" ht="15.75" customHeight="1" s="15"/>
    <row r="268" ht="15.75" customHeight="1" s="15"/>
    <row r="269" ht="15.75" customHeight="1" s="15"/>
    <row r="270" ht="15.75" customHeight="1" s="15"/>
    <row r="271" ht="15.75" customHeight="1" s="15"/>
    <row r="272" ht="15.75" customHeight="1" s="15"/>
    <row r="273" ht="15.75" customHeight="1" s="15"/>
    <row r="274" ht="15.75" customHeight="1" s="15"/>
    <row r="275" ht="15.75" customHeight="1" s="15"/>
    <row r="276" ht="15.75" customHeight="1" s="15"/>
    <row r="277" ht="15.75" customHeight="1" s="15"/>
    <row r="278" ht="15.75" customHeight="1" s="15"/>
    <row r="279" ht="15.75" customHeight="1" s="15"/>
    <row r="280" ht="15.75" customHeight="1" s="15"/>
    <row r="281" ht="15.75" customHeight="1" s="15"/>
    <row r="282" ht="15.75" customHeight="1" s="15"/>
    <row r="283" ht="15.75" customHeight="1" s="15"/>
    <row r="284" ht="15.75" customHeight="1" s="15"/>
    <row r="285" ht="15.75" customHeight="1" s="15"/>
    <row r="286" ht="15.75" customHeight="1" s="15"/>
    <row r="287" ht="15.75" customHeight="1" s="15"/>
    <row r="288" ht="15.75" customHeight="1" s="15"/>
    <row r="289" ht="15.75" customHeight="1" s="15"/>
    <row r="290" ht="15.75" customHeight="1" s="15"/>
    <row r="291" ht="15.75" customHeight="1" s="15"/>
    <row r="292" ht="15.75" customHeight="1" s="15"/>
    <row r="293" ht="15.75" customHeight="1" s="15"/>
    <row r="294" ht="15.75" customHeight="1" s="15"/>
    <row r="295" ht="15.75" customHeight="1" s="15"/>
    <row r="296" ht="15.75" customHeight="1" s="15"/>
    <row r="297" ht="15.75" customHeight="1" s="15"/>
    <row r="298" ht="15.75" customHeight="1" s="15"/>
    <row r="299" ht="15.75" customHeight="1" s="15"/>
    <row r="300" ht="15.75" customHeight="1" s="15"/>
    <row r="301" ht="15.75" customHeight="1" s="15"/>
    <row r="302" ht="15.75" customHeight="1" s="15"/>
    <row r="303" ht="15.75" customHeight="1" s="15"/>
    <row r="304" ht="15.75" customHeight="1" s="15"/>
    <row r="305" ht="15.75" customHeight="1" s="15"/>
    <row r="306" ht="15.75" customHeight="1" s="15"/>
    <row r="307" ht="15.75" customHeight="1" s="15"/>
    <row r="308" ht="15.75" customHeight="1" s="15"/>
    <row r="309" ht="15.75" customHeight="1" s="15"/>
    <row r="310" ht="15.75" customHeight="1" s="15"/>
    <row r="311" ht="15.75" customHeight="1" s="15"/>
    <row r="312" ht="15.75" customHeight="1" s="15"/>
    <row r="313" ht="15.75" customHeight="1" s="15"/>
    <row r="314" ht="15.75" customHeight="1" s="15"/>
    <row r="315" ht="15.75" customHeight="1" s="15"/>
    <row r="316" ht="15.75" customHeight="1" s="15"/>
    <row r="317" ht="15.75" customHeight="1" s="15"/>
    <row r="318" ht="15.75" customHeight="1" s="15"/>
    <row r="319" ht="15.75" customHeight="1" s="15"/>
    <row r="320" ht="15.75" customHeight="1" s="15"/>
    <row r="321" ht="15.75" customHeight="1" s="15"/>
    <row r="322" ht="15.75" customHeight="1" s="15"/>
    <row r="323" ht="15.75" customHeight="1" s="15"/>
    <row r="324" ht="15.75" customHeight="1" s="15"/>
    <row r="325" ht="15.75" customHeight="1" s="15"/>
    <row r="326" ht="15.75" customHeight="1" s="15"/>
    <row r="327" ht="15.75" customHeight="1" s="15"/>
    <row r="328" ht="15.75" customHeight="1" s="15"/>
    <row r="329" ht="15.75" customHeight="1" s="15"/>
    <row r="330" ht="15.75" customHeight="1" s="15"/>
    <row r="331" ht="15.75" customHeight="1" s="15"/>
    <row r="332" ht="15.75" customHeight="1" s="15"/>
    <row r="333" ht="15.75" customHeight="1" s="15"/>
    <row r="334" ht="15.75" customHeight="1" s="15"/>
    <row r="335" ht="15.75" customHeight="1" s="15"/>
    <row r="336" ht="15.75" customHeight="1" s="15"/>
    <row r="337" ht="15.75" customHeight="1" s="15"/>
    <row r="338" ht="15.75" customHeight="1" s="15"/>
    <row r="339" ht="15.75" customHeight="1" s="15"/>
    <row r="340" ht="15.75" customHeight="1" s="15"/>
    <row r="341" ht="15.75" customHeight="1" s="15"/>
    <row r="342" ht="15.75" customHeight="1" s="15"/>
    <row r="343" ht="15.75" customHeight="1" s="15"/>
    <row r="344" ht="15.75" customHeight="1" s="15"/>
    <row r="345" ht="15.75" customHeight="1" s="15"/>
    <row r="346" ht="15.75" customHeight="1" s="15"/>
    <row r="347" ht="15.75" customHeight="1" s="15"/>
    <row r="348" ht="15.75" customHeight="1" s="15"/>
    <row r="349" ht="15.75" customHeight="1" s="15"/>
    <row r="350" ht="15.75" customHeight="1" s="15"/>
    <row r="351" ht="15.75" customHeight="1" s="15"/>
    <row r="352" ht="15.75" customHeight="1" s="15"/>
    <row r="353" ht="15.75" customHeight="1" s="15"/>
    <row r="354" ht="15.75" customHeight="1" s="15"/>
    <row r="355" ht="15.75" customHeight="1" s="15"/>
    <row r="356" ht="15.75" customHeight="1" s="15"/>
    <row r="357" ht="15.75" customHeight="1" s="15"/>
    <row r="358" ht="15.75" customHeight="1" s="15"/>
    <row r="359" ht="15.75" customHeight="1" s="15"/>
    <row r="360" ht="15.75" customHeight="1" s="15"/>
    <row r="361" ht="15.75" customHeight="1" s="15"/>
    <row r="362" ht="15.75" customHeight="1" s="15"/>
    <row r="363" ht="15.75" customHeight="1" s="15"/>
    <row r="364" ht="15.75" customHeight="1" s="15"/>
    <row r="365" ht="15.75" customHeight="1" s="15"/>
    <row r="366" ht="15.75" customHeight="1" s="15"/>
    <row r="367" ht="15.75" customHeight="1" s="15"/>
    <row r="368" ht="15.75" customHeight="1" s="15"/>
    <row r="369" ht="15.75" customHeight="1" s="15"/>
    <row r="370" ht="15.75" customHeight="1" s="15"/>
    <row r="371" ht="15.75" customHeight="1" s="15"/>
    <row r="372" ht="15.75" customHeight="1" s="15"/>
    <row r="373" ht="15.75" customHeight="1" s="15"/>
    <row r="374" ht="15.75" customHeight="1" s="15"/>
    <row r="375" ht="15.75" customHeight="1" s="15"/>
    <row r="376" ht="15.75" customHeight="1" s="15"/>
    <row r="377" ht="15.75" customHeight="1" s="15"/>
    <row r="378" ht="15.75" customHeight="1" s="15"/>
    <row r="379" ht="15.75" customHeight="1" s="15"/>
    <row r="380" ht="15.75" customHeight="1" s="15"/>
    <row r="381" ht="15.75" customHeight="1" s="15"/>
    <row r="382" ht="15.75" customHeight="1" s="15"/>
    <row r="383" ht="15.75" customHeight="1" s="15"/>
    <row r="384" ht="15.75" customHeight="1" s="15"/>
    <row r="385" ht="15.75" customHeight="1" s="15"/>
    <row r="386" ht="15.75" customHeight="1" s="15"/>
    <row r="387" ht="15.75" customHeight="1" s="15"/>
    <row r="388" ht="15.75" customHeight="1" s="15"/>
    <row r="389" ht="15.75" customHeight="1" s="15"/>
    <row r="390" ht="15.75" customHeight="1" s="15"/>
    <row r="391" ht="15.75" customHeight="1" s="15"/>
    <row r="392" ht="15.75" customHeight="1" s="15"/>
    <row r="393" ht="15.75" customHeight="1" s="15"/>
    <row r="394" ht="15.75" customHeight="1" s="15"/>
    <row r="395" ht="15.75" customHeight="1" s="15"/>
    <row r="396" ht="15.75" customHeight="1" s="15"/>
    <row r="397" ht="15.75" customHeight="1" s="15"/>
    <row r="398" ht="15.75" customHeight="1" s="15"/>
    <row r="399" ht="15.75" customHeight="1" s="15"/>
    <row r="400" ht="15.75" customHeight="1" s="15"/>
    <row r="401" ht="15.75" customHeight="1" s="15"/>
    <row r="402" ht="15.75" customHeight="1" s="15"/>
    <row r="403" ht="15.75" customHeight="1" s="15"/>
    <row r="404" ht="15.75" customHeight="1" s="15"/>
    <row r="405" ht="15.75" customHeight="1" s="15"/>
    <row r="406" ht="15.75" customHeight="1" s="15"/>
    <row r="407" ht="15.75" customHeight="1" s="15"/>
    <row r="408" ht="15.75" customHeight="1" s="15"/>
    <row r="409" ht="15.75" customHeight="1" s="15"/>
    <row r="410" ht="15.75" customHeight="1" s="15"/>
    <row r="411" ht="15.75" customHeight="1" s="15"/>
    <row r="412" ht="15.75" customHeight="1" s="15"/>
    <row r="413" ht="15.75" customHeight="1" s="15"/>
    <row r="414" ht="15.75" customHeight="1" s="15"/>
    <row r="415" ht="15.75" customHeight="1" s="15"/>
    <row r="416" ht="15.75" customHeight="1" s="15"/>
    <row r="417" ht="15.75" customHeight="1" s="15"/>
    <row r="418" ht="15.75" customHeight="1" s="15"/>
    <row r="419" ht="15.75" customHeight="1" s="15"/>
    <row r="420" ht="15.75" customHeight="1" s="15"/>
    <row r="421" ht="15.75" customHeight="1" s="15"/>
    <row r="422" ht="15.75" customHeight="1" s="15"/>
    <row r="423" ht="15.75" customHeight="1" s="15"/>
    <row r="424" ht="15.75" customHeight="1" s="15"/>
    <row r="425" ht="15.75" customHeight="1" s="15"/>
    <row r="426" ht="15.75" customHeight="1" s="15"/>
    <row r="427" ht="15.75" customHeight="1" s="15"/>
    <row r="428" ht="15.75" customHeight="1" s="15"/>
    <row r="429" ht="15.75" customHeight="1" s="15"/>
    <row r="430" ht="15.75" customHeight="1" s="15"/>
    <row r="431" ht="15.75" customHeight="1" s="15"/>
    <row r="432" ht="15.75" customHeight="1" s="15"/>
    <row r="433" ht="15.75" customHeight="1" s="15"/>
    <row r="434" ht="15.75" customHeight="1" s="15"/>
    <row r="435" ht="15.75" customHeight="1" s="15"/>
    <row r="436" ht="15.75" customHeight="1" s="15"/>
    <row r="437" ht="15.75" customHeight="1" s="15"/>
    <row r="438" ht="15.75" customHeight="1" s="15"/>
    <row r="439" ht="15.75" customHeight="1" s="15"/>
    <row r="440" ht="15.75" customHeight="1" s="15"/>
    <row r="441" ht="15.75" customHeight="1" s="15"/>
    <row r="442" ht="15.75" customHeight="1" s="15"/>
    <row r="443" ht="15.75" customHeight="1" s="15"/>
    <row r="444" ht="15.75" customHeight="1" s="15"/>
    <row r="445" ht="15.75" customHeight="1" s="15"/>
    <row r="446" ht="15.75" customHeight="1" s="15"/>
    <row r="447" ht="15.75" customHeight="1" s="15"/>
    <row r="448" ht="15.75" customHeight="1" s="15"/>
    <row r="449" ht="15.75" customHeight="1" s="15"/>
    <row r="450" ht="15.75" customHeight="1" s="15"/>
    <row r="451" ht="15.75" customHeight="1" s="15"/>
    <row r="452" ht="15.75" customHeight="1" s="15"/>
    <row r="453" ht="15.75" customHeight="1" s="15"/>
    <row r="454" ht="15.75" customHeight="1" s="15"/>
    <row r="455" ht="15.75" customHeight="1" s="15"/>
    <row r="456" ht="15.75" customHeight="1" s="15"/>
    <row r="457" ht="15.75" customHeight="1" s="15"/>
    <row r="458" ht="15.75" customHeight="1" s="15"/>
    <row r="459" ht="15.75" customHeight="1" s="15"/>
    <row r="460" ht="15.75" customHeight="1" s="15"/>
    <row r="461" ht="15.75" customHeight="1" s="15"/>
    <row r="462" ht="15.75" customHeight="1" s="15"/>
    <row r="463" ht="15.75" customHeight="1" s="15"/>
    <row r="464" ht="15.75" customHeight="1" s="15"/>
    <row r="465" ht="15.75" customHeight="1" s="15"/>
    <row r="466" ht="15.75" customHeight="1" s="15"/>
    <row r="467" ht="15.75" customHeight="1" s="15"/>
    <row r="468" ht="15.75" customHeight="1" s="15"/>
    <row r="469" ht="15.75" customHeight="1" s="15"/>
    <row r="470" ht="15.75" customHeight="1" s="15"/>
    <row r="471" ht="15.75" customHeight="1" s="15"/>
    <row r="472" ht="15.75" customHeight="1" s="15"/>
    <row r="473" ht="15.75" customHeight="1" s="15"/>
    <row r="474" ht="15.75" customHeight="1" s="15"/>
    <row r="475" ht="15.75" customHeight="1" s="15"/>
    <row r="476" ht="15.75" customHeight="1" s="15"/>
    <row r="477" ht="15.75" customHeight="1" s="15"/>
    <row r="478" ht="15.75" customHeight="1" s="15"/>
    <row r="479" ht="15.75" customHeight="1" s="15"/>
    <row r="480" ht="15.75" customHeight="1" s="15"/>
    <row r="481" ht="15.75" customHeight="1" s="15"/>
    <row r="482" ht="15.75" customHeight="1" s="15"/>
    <row r="483" ht="15.75" customHeight="1" s="15"/>
    <row r="484" ht="15.75" customHeight="1" s="15"/>
    <row r="485" ht="15.75" customHeight="1" s="15"/>
    <row r="486" ht="15.75" customHeight="1" s="15"/>
    <row r="487" ht="15.75" customHeight="1" s="15"/>
    <row r="488" ht="15.75" customHeight="1" s="15"/>
    <row r="489" ht="15.75" customHeight="1" s="15"/>
    <row r="490" ht="15.75" customHeight="1" s="15"/>
    <row r="491" ht="15.75" customHeight="1" s="15"/>
    <row r="492" ht="15.75" customHeight="1" s="15"/>
    <row r="493" ht="15.75" customHeight="1" s="15"/>
    <row r="494" ht="15.75" customHeight="1" s="15"/>
    <row r="495" ht="15.75" customHeight="1" s="15"/>
    <row r="496" ht="15.75" customHeight="1" s="15"/>
    <row r="497" ht="15.75" customHeight="1" s="15"/>
    <row r="498" ht="15.75" customHeight="1" s="15"/>
    <row r="499" ht="15.75" customHeight="1" s="15"/>
    <row r="500" ht="15.75" customHeight="1" s="15"/>
    <row r="501" ht="15.75" customHeight="1" s="15"/>
    <row r="502" ht="15.75" customHeight="1" s="15"/>
    <row r="503" ht="15.75" customHeight="1" s="15"/>
    <row r="504" ht="15.75" customHeight="1" s="15"/>
    <row r="505" ht="15.75" customHeight="1" s="15"/>
    <row r="506" ht="15.75" customHeight="1" s="15"/>
    <row r="507" ht="15.75" customHeight="1" s="15"/>
    <row r="508" ht="15.75" customHeight="1" s="15"/>
    <row r="509" ht="15.75" customHeight="1" s="15"/>
    <row r="510" ht="15.75" customHeight="1" s="15"/>
    <row r="511" ht="15.75" customHeight="1" s="15"/>
    <row r="512" ht="15.75" customHeight="1" s="15"/>
    <row r="513" ht="15.75" customHeight="1" s="15"/>
    <row r="514" ht="15.75" customHeight="1" s="15"/>
    <row r="515" ht="15.75" customHeight="1" s="15"/>
    <row r="516" ht="15.75" customHeight="1" s="15"/>
    <row r="517" ht="15.75" customHeight="1" s="15"/>
    <row r="518" ht="15.75" customHeight="1" s="15"/>
    <row r="519" ht="15.75" customHeight="1" s="15"/>
    <row r="520" ht="15.75" customHeight="1" s="15"/>
    <row r="521" ht="15.75" customHeight="1" s="15"/>
    <row r="522" ht="15.75" customHeight="1" s="15"/>
    <row r="523" ht="15.75" customHeight="1" s="15"/>
    <row r="524" ht="15.75" customHeight="1" s="15"/>
    <row r="525" ht="15.75" customHeight="1" s="15"/>
    <row r="526" ht="15.75" customHeight="1" s="15"/>
    <row r="527" ht="15.75" customHeight="1" s="15"/>
    <row r="528" ht="15.75" customHeight="1" s="15"/>
    <row r="529" ht="15.75" customHeight="1" s="15"/>
    <row r="530" ht="15.75" customHeight="1" s="15"/>
    <row r="531" ht="15.75" customHeight="1" s="15"/>
    <row r="532" ht="15.75" customHeight="1" s="15"/>
    <row r="533" ht="15.75" customHeight="1" s="15"/>
    <row r="534" ht="15.75" customHeight="1" s="15"/>
    <row r="535" ht="15.75" customHeight="1" s="15"/>
    <row r="536" ht="15.75" customHeight="1" s="15"/>
    <row r="537" ht="15.75" customHeight="1" s="15"/>
    <row r="538" ht="15.75" customHeight="1" s="15"/>
    <row r="539" ht="15.75" customHeight="1" s="15"/>
    <row r="540" ht="15.75" customHeight="1" s="15"/>
    <row r="541" ht="15.75" customHeight="1" s="15"/>
    <row r="542" ht="15.75" customHeight="1" s="15"/>
    <row r="543" ht="15.75" customHeight="1" s="15"/>
    <row r="544" ht="15.75" customHeight="1" s="15"/>
    <row r="545" ht="15.75" customHeight="1" s="15"/>
    <row r="546" ht="15.75" customHeight="1" s="15"/>
    <row r="547" ht="15.75" customHeight="1" s="15"/>
    <row r="548" ht="15.75" customHeight="1" s="15"/>
    <row r="549" ht="15.75" customHeight="1" s="15"/>
    <row r="550" ht="15.75" customHeight="1" s="15"/>
    <row r="551" ht="15.75" customHeight="1" s="15"/>
    <row r="552" ht="15.75" customHeight="1" s="15"/>
    <row r="553" ht="15.75" customHeight="1" s="15"/>
    <row r="554" ht="15.75" customHeight="1" s="15"/>
    <row r="555" ht="15.75" customHeight="1" s="15"/>
    <row r="556" ht="15.75" customHeight="1" s="15"/>
    <row r="557" ht="15.75" customHeight="1" s="15"/>
    <row r="558" ht="15.75" customHeight="1" s="15"/>
    <row r="559" ht="15.75" customHeight="1" s="15"/>
    <row r="560" ht="15.75" customHeight="1" s="15"/>
    <row r="561" ht="15.75" customHeight="1" s="15"/>
    <row r="562" ht="15.75" customHeight="1" s="15"/>
    <row r="563" ht="15.75" customHeight="1" s="15"/>
    <row r="564" ht="15.75" customHeight="1" s="15"/>
    <row r="565" ht="15.75" customHeight="1" s="15"/>
    <row r="566" ht="15.75" customHeight="1" s="15"/>
    <row r="567" ht="15.75" customHeight="1" s="15"/>
    <row r="568" ht="15.75" customHeight="1" s="15"/>
    <row r="569" ht="15.75" customHeight="1" s="15"/>
    <row r="570" ht="15.75" customHeight="1" s="15"/>
    <row r="571" ht="15.75" customHeight="1" s="15"/>
    <row r="572" ht="15.75" customHeight="1" s="15"/>
    <row r="573" ht="15.75" customHeight="1" s="15"/>
    <row r="574" ht="15.75" customHeight="1" s="15"/>
    <row r="575" ht="15.75" customHeight="1" s="15"/>
    <row r="576" ht="15.75" customHeight="1" s="15"/>
    <row r="577" ht="15.75" customHeight="1" s="15"/>
    <row r="578" ht="15.75" customHeight="1" s="15"/>
    <row r="579" ht="15.75" customHeight="1" s="15"/>
    <row r="580" ht="15.75" customHeight="1" s="15"/>
    <row r="581" ht="15.75" customHeight="1" s="15"/>
    <row r="582" ht="15.75" customHeight="1" s="15"/>
    <row r="583" ht="15.75" customHeight="1" s="15"/>
    <row r="584" ht="15.75" customHeight="1" s="15"/>
    <row r="585" ht="15.75" customHeight="1" s="15"/>
    <row r="586" ht="15.75" customHeight="1" s="15"/>
    <row r="587" ht="15.75" customHeight="1" s="15"/>
    <row r="588" ht="15.75" customHeight="1" s="15"/>
    <row r="589" ht="15.75" customHeight="1" s="15"/>
    <row r="590" ht="15.75" customHeight="1" s="15"/>
    <row r="591" ht="15.75" customHeight="1" s="15"/>
    <row r="592" ht="15.75" customHeight="1" s="15"/>
    <row r="593" ht="15.75" customHeight="1" s="15"/>
    <row r="594" ht="15.75" customHeight="1" s="15"/>
    <row r="595" ht="15.75" customHeight="1" s="15"/>
    <row r="596" ht="15.75" customHeight="1" s="15"/>
    <row r="597" ht="15.75" customHeight="1" s="15"/>
    <row r="598" ht="15.75" customHeight="1" s="15"/>
    <row r="599" ht="15.75" customHeight="1" s="15"/>
    <row r="600" ht="15.75" customHeight="1" s="15"/>
    <row r="601" ht="15.75" customHeight="1" s="15"/>
    <row r="602" ht="15.75" customHeight="1" s="15"/>
    <row r="603" ht="15.75" customHeight="1" s="15"/>
    <row r="604" ht="15.75" customHeight="1" s="15"/>
    <row r="605" ht="15.75" customHeight="1" s="15"/>
    <row r="606" ht="15.75" customHeight="1" s="15"/>
    <row r="607" ht="15.75" customHeight="1" s="15"/>
    <row r="608" ht="15.75" customHeight="1" s="15"/>
    <row r="609" ht="15.75" customHeight="1" s="15"/>
    <row r="610" ht="15.75" customHeight="1" s="15"/>
    <row r="611" ht="15.75" customHeight="1" s="15"/>
    <row r="612" ht="15.75" customHeight="1" s="15"/>
    <row r="613" ht="15.75" customHeight="1" s="15"/>
    <row r="614" ht="15.75" customHeight="1" s="15"/>
    <row r="615" ht="15.75" customHeight="1" s="15"/>
    <row r="616" ht="15.75" customHeight="1" s="15"/>
    <row r="617" ht="15.75" customHeight="1" s="15"/>
    <row r="618" ht="15.75" customHeight="1" s="15"/>
    <row r="619" ht="15.75" customHeight="1" s="15"/>
    <row r="620" ht="15.75" customHeight="1" s="15"/>
    <row r="621" ht="15.75" customHeight="1" s="15"/>
    <row r="622" ht="15.75" customHeight="1" s="15"/>
    <row r="623" ht="15.75" customHeight="1" s="15"/>
    <row r="624" ht="15.75" customHeight="1" s="15"/>
    <row r="625" ht="15.75" customHeight="1" s="15"/>
    <row r="626" ht="15.75" customHeight="1" s="15"/>
    <row r="627" ht="15.75" customHeight="1" s="15"/>
    <row r="628" ht="15.75" customHeight="1" s="15"/>
    <row r="629" ht="15.75" customHeight="1" s="15"/>
    <row r="630" ht="15.75" customHeight="1" s="15"/>
    <row r="631" ht="15.75" customHeight="1" s="15"/>
    <row r="632" ht="15.75" customHeight="1" s="15"/>
    <row r="633" ht="15.75" customHeight="1" s="15"/>
    <row r="634" ht="15.75" customHeight="1" s="15"/>
    <row r="635" ht="15.75" customHeight="1" s="15"/>
    <row r="636" ht="15.75" customHeight="1" s="15"/>
    <row r="637" ht="15.75" customHeight="1" s="15"/>
    <row r="638" ht="15.75" customHeight="1" s="15"/>
    <row r="639" ht="15.75" customHeight="1" s="15"/>
    <row r="640" ht="15.75" customHeight="1" s="15"/>
    <row r="641" ht="15.75" customHeight="1" s="15"/>
    <row r="642" ht="15.75" customHeight="1" s="15"/>
    <row r="643" ht="15.75" customHeight="1" s="15"/>
    <row r="644" ht="15.75" customHeight="1" s="15"/>
    <row r="645" ht="15.75" customHeight="1" s="15"/>
    <row r="646" ht="15.75" customHeight="1" s="15"/>
    <row r="647" ht="15.75" customHeight="1" s="15"/>
    <row r="648" ht="15.75" customHeight="1" s="15"/>
    <row r="649" ht="15.75" customHeight="1" s="15"/>
    <row r="650" ht="15.75" customHeight="1" s="15"/>
    <row r="651" ht="15.75" customHeight="1" s="15"/>
    <row r="652" ht="15.75" customHeight="1" s="15"/>
    <row r="653" ht="15.75" customHeight="1" s="15"/>
    <row r="654" ht="15.75" customHeight="1" s="15"/>
    <row r="655" ht="15.75" customHeight="1" s="15"/>
    <row r="656" ht="15.75" customHeight="1" s="15"/>
    <row r="657" ht="15.75" customHeight="1" s="15"/>
    <row r="658" ht="15.75" customHeight="1" s="15"/>
    <row r="659" ht="15.75" customHeight="1" s="15"/>
    <row r="660" ht="15.75" customHeight="1" s="15"/>
    <row r="661" ht="15.75" customHeight="1" s="15"/>
    <row r="662" ht="15.75" customHeight="1" s="15"/>
    <row r="663" ht="15.75" customHeight="1" s="15"/>
    <row r="664" ht="15.75" customHeight="1" s="15"/>
    <row r="665" ht="15.75" customHeight="1" s="15"/>
    <row r="666" ht="15.75" customHeight="1" s="15"/>
    <row r="667" ht="15.75" customHeight="1" s="15"/>
    <row r="668" ht="15.75" customHeight="1" s="15"/>
    <row r="669" ht="15.75" customHeight="1" s="15"/>
    <row r="670" ht="15.75" customHeight="1" s="15"/>
    <row r="671" ht="15.75" customHeight="1" s="15"/>
    <row r="672" ht="15.75" customHeight="1" s="15"/>
    <row r="673" ht="15.75" customHeight="1" s="15"/>
    <row r="674" ht="15.75" customHeight="1" s="15"/>
    <row r="675" ht="15.75" customHeight="1" s="15"/>
    <row r="676" ht="15.75" customHeight="1" s="15"/>
    <row r="677" ht="15.75" customHeight="1" s="15"/>
    <row r="678" ht="15.75" customHeight="1" s="15"/>
    <row r="679" ht="15.75" customHeight="1" s="15"/>
    <row r="680" ht="15.75" customHeight="1" s="15"/>
    <row r="681" ht="15.75" customHeight="1" s="15"/>
    <row r="682" ht="15.75" customHeight="1" s="15"/>
    <row r="683" ht="15.75" customHeight="1" s="15"/>
    <row r="684" ht="15.75" customHeight="1" s="15"/>
    <row r="685" ht="15.75" customHeight="1" s="15"/>
    <row r="686" ht="15.75" customHeight="1" s="15"/>
    <row r="687" ht="15.75" customHeight="1" s="15"/>
    <row r="688" ht="15.75" customHeight="1" s="15"/>
    <row r="689" ht="15.75" customHeight="1" s="15"/>
    <row r="690" ht="15.75" customHeight="1" s="15"/>
    <row r="691" ht="15.75" customHeight="1" s="15"/>
    <row r="692" ht="15.75" customHeight="1" s="15"/>
    <row r="693" ht="15.75" customHeight="1" s="15"/>
    <row r="694" ht="15.75" customHeight="1" s="15"/>
    <row r="695" ht="15.75" customHeight="1" s="15"/>
    <row r="696" ht="15.75" customHeight="1" s="15"/>
    <row r="697" ht="15.75" customHeight="1" s="15"/>
    <row r="698" ht="15.75" customHeight="1" s="15"/>
    <row r="699" ht="15.75" customHeight="1" s="15"/>
    <row r="700" ht="15.75" customHeight="1" s="15"/>
    <row r="701" ht="15.75" customHeight="1" s="15"/>
    <row r="702" ht="15.75" customHeight="1" s="15"/>
    <row r="703" ht="15.75" customHeight="1" s="15"/>
    <row r="704" ht="15.75" customHeight="1" s="15"/>
    <row r="705" ht="15.75" customHeight="1" s="15"/>
    <row r="706" ht="15.75" customHeight="1" s="15"/>
    <row r="707" ht="15.75" customHeight="1" s="15"/>
    <row r="708" ht="15.75" customHeight="1" s="15"/>
    <row r="709" ht="15.75" customHeight="1" s="15"/>
    <row r="710" ht="15.75" customHeight="1" s="15"/>
    <row r="711" ht="15.75" customHeight="1" s="15"/>
    <row r="712" ht="15.75" customHeight="1" s="15"/>
    <row r="713" ht="15.75" customHeight="1" s="15"/>
    <row r="714" ht="15.75" customHeight="1" s="15"/>
    <row r="715" ht="15.75" customHeight="1" s="15"/>
    <row r="716" ht="15.75" customHeight="1" s="15"/>
    <row r="717" ht="15.75" customHeight="1" s="15"/>
    <row r="718" ht="15.75" customHeight="1" s="15"/>
    <row r="719" ht="15.75" customHeight="1" s="15"/>
    <row r="720" ht="15.75" customHeight="1" s="15"/>
    <row r="721" ht="15.75" customHeight="1" s="15"/>
    <row r="722" ht="15.75" customHeight="1" s="15"/>
    <row r="723" ht="15.75" customHeight="1" s="15"/>
    <row r="724" ht="15.75" customHeight="1" s="15"/>
    <row r="725" ht="15.75" customHeight="1" s="15"/>
    <row r="726" ht="15.75" customHeight="1" s="15"/>
    <row r="727" ht="15.75" customHeight="1" s="15"/>
    <row r="728" ht="15.75" customHeight="1" s="15"/>
    <row r="729" ht="15.75" customHeight="1" s="15"/>
    <row r="730" ht="15.75" customHeight="1" s="15"/>
    <row r="731" ht="15.75" customHeight="1" s="15"/>
    <row r="732" ht="15.75" customHeight="1" s="15"/>
    <row r="733" ht="15.75" customHeight="1" s="15"/>
    <row r="734" ht="15.75" customHeight="1" s="15"/>
    <row r="735" ht="15.75" customHeight="1" s="15"/>
    <row r="736" ht="15.75" customHeight="1" s="15"/>
    <row r="737" ht="15.75" customHeight="1" s="15"/>
    <row r="738" ht="15.75" customHeight="1" s="15"/>
    <row r="739" ht="15.75" customHeight="1" s="15"/>
    <row r="740" ht="15.75" customHeight="1" s="15"/>
    <row r="741" ht="15.75" customHeight="1" s="15"/>
    <row r="742" ht="15.75" customHeight="1" s="15"/>
    <row r="743" ht="15.75" customHeight="1" s="15"/>
    <row r="744" ht="15.75" customHeight="1" s="15"/>
    <row r="745" ht="15.75" customHeight="1" s="15"/>
    <row r="746" ht="15.75" customHeight="1" s="15"/>
    <row r="747" ht="15.75" customHeight="1" s="15"/>
    <row r="748" ht="15.75" customHeight="1" s="15"/>
    <row r="749" ht="15.75" customHeight="1" s="15"/>
    <row r="750" ht="15.75" customHeight="1" s="15"/>
    <row r="751" ht="15.75" customHeight="1" s="15"/>
    <row r="752" ht="15.75" customHeight="1" s="15"/>
    <row r="753" ht="15.75" customHeight="1" s="15"/>
    <row r="754" ht="15.75" customHeight="1" s="15"/>
    <row r="755" ht="15.75" customHeight="1" s="15"/>
    <row r="756" ht="15.75" customHeight="1" s="15"/>
    <row r="757" ht="15.75" customHeight="1" s="15"/>
    <row r="758" ht="15.75" customHeight="1" s="15"/>
    <row r="759" ht="15.75" customHeight="1" s="15"/>
    <row r="760" ht="15.75" customHeight="1" s="15"/>
    <row r="761" ht="15.75" customHeight="1" s="15"/>
    <row r="762" ht="15.75" customHeight="1" s="15"/>
    <row r="763" ht="15.75" customHeight="1" s="15"/>
    <row r="764" ht="15.75" customHeight="1" s="15"/>
    <row r="765" ht="15.75" customHeight="1" s="15"/>
    <row r="766" ht="15.75" customHeight="1" s="15"/>
    <row r="767" ht="15.75" customHeight="1" s="15"/>
    <row r="768" ht="15.75" customHeight="1" s="15"/>
    <row r="769" ht="15.75" customHeight="1" s="15"/>
    <row r="770" ht="15.75" customHeight="1" s="15"/>
    <row r="771" ht="15.75" customHeight="1" s="15"/>
    <row r="772" ht="15.75" customHeight="1" s="15"/>
    <row r="773" ht="15.75" customHeight="1" s="15"/>
    <row r="774" ht="15.75" customHeight="1" s="15"/>
    <row r="775" ht="15.75" customHeight="1" s="15"/>
    <row r="776" ht="15.75" customHeight="1" s="15"/>
    <row r="777" ht="15.75" customHeight="1" s="15"/>
    <row r="778" ht="15.75" customHeight="1" s="15"/>
    <row r="779" ht="15.75" customHeight="1" s="15"/>
    <row r="780" ht="15.75" customHeight="1" s="15"/>
    <row r="781" ht="15.75" customHeight="1" s="15"/>
    <row r="782" ht="15.75" customHeight="1" s="15"/>
    <row r="783" ht="15.75" customHeight="1" s="15"/>
    <row r="784" ht="15.75" customHeight="1" s="15"/>
    <row r="785" ht="15.75" customHeight="1" s="15"/>
    <row r="786" ht="15.75" customHeight="1" s="15"/>
    <row r="787" ht="15.75" customHeight="1" s="15"/>
    <row r="788" ht="15.75" customHeight="1" s="15"/>
    <row r="789" ht="15.75" customHeight="1" s="15"/>
    <row r="790" ht="15.75" customHeight="1" s="15"/>
    <row r="791" ht="15.75" customHeight="1" s="15"/>
    <row r="792" ht="15.75" customHeight="1" s="15"/>
    <row r="793" ht="15.75" customHeight="1" s="15"/>
    <row r="794" ht="15.75" customHeight="1" s="15"/>
    <row r="795" ht="15.75" customHeight="1" s="15"/>
    <row r="796" ht="15.75" customHeight="1" s="15"/>
    <row r="797" ht="15.75" customHeight="1" s="15"/>
    <row r="798" ht="15.75" customHeight="1" s="15"/>
    <row r="799" ht="15.75" customHeight="1" s="15"/>
    <row r="800" ht="15.75" customHeight="1" s="15"/>
    <row r="801" ht="15.75" customHeight="1" s="15"/>
    <row r="802" ht="15.75" customHeight="1" s="15"/>
    <row r="803" ht="15.75" customHeight="1" s="15"/>
    <row r="804" ht="15.75" customHeight="1" s="15"/>
    <row r="805" ht="15.75" customHeight="1" s="15"/>
    <row r="806" ht="15.75" customHeight="1" s="15"/>
    <row r="807" ht="15.75" customHeight="1" s="15"/>
    <row r="808" ht="15.75" customHeight="1" s="15"/>
    <row r="809" ht="15.75" customHeight="1" s="15"/>
    <row r="810" ht="15.75" customHeight="1" s="15"/>
    <row r="811" ht="15.75" customHeight="1" s="15"/>
    <row r="812" ht="15.75" customHeight="1" s="15"/>
    <row r="813" ht="15.75" customHeight="1" s="15"/>
    <row r="814" ht="15.75" customHeight="1" s="15"/>
    <row r="815" ht="15.75" customHeight="1" s="15"/>
    <row r="816" ht="15.75" customHeight="1" s="15"/>
    <row r="817" ht="15.75" customHeight="1" s="15"/>
    <row r="818" ht="15.75" customHeight="1" s="15"/>
    <row r="819" ht="15.75" customHeight="1" s="15"/>
    <row r="820" ht="15.75" customHeight="1" s="15"/>
    <row r="821" ht="15.75" customHeight="1" s="15"/>
    <row r="822" ht="15.75" customHeight="1" s="15"/>
    <row r="823" ht="15.75" customHeight="1" s="15"/>
    <row r="824" ht="15.75" customHeight="1" s="15"/>
    <row r="825" ht="15.75" customHeight="1" s="15"/>
    <row r="826" ht="15.75" customHeight="1" s="15"/>
    <row r="827" ht="15.75" customHeight="1" s="15"/>
    <row r="828" ht="15.75" customHeight="1" s="15"/>
    <row r="829" ht="15.75" customHeight="1" s="15"/>
    <row r="830" ht="15.75" customHeight="1" s="15"/>
    <row r="831" ht="15.75" customHeight="1" s="15"/>
    <row r="832" ht="15.75" customHeight="1" s="15"/>
    <row r="833" ht="15.75" customHeight="1" s="15"/>
    <row r="834" ht="15.75" customHeight="1" s="15"/>
    <row r="835" ht="15.75" customHeight="1" s="15"/>
    <row r="836" ht="15.75" customHeight="1" s="15"/>
    <row r="837" ht="15.75" customHeight="1" s="15"/>
    <row r="838" ht="15.75" customHeight="1" s="15"/>
    <row r="839" ht="15.75" customHeight="1" s="15"/>
    <row r="840" ht="15.75" customHeight="1" s="15"/>
    <row r="841" ht="15.75" customHeight="1" s="15"/>
    <row r="842" ht="15.75" customHeight="1" s="15"/>
    <row r="843" ht="15.75" customHeight="1" s="15"/>
    <row r="844" ht="15.75" customHeight="1" s="15"/>
    <row r="845" ht="15.75" customHeight="1" s="15"/>
    <row r="846" ht="15.75" customHeight="1" s="15"/>
    <row r="847" ht="15.75" customHeight="1" s="15"/>
    <row r="848" ht="15.75" customHeight="1" s="15"/>
    <row r="849" ht="15.75" customHeight="1" s="15"/>
    <row r="850" ht="15.75" customHeight="1" s="15"/>
    <row r="851" ht="15.75" customHeight="1" s="15"/>
    <row r="852" ht="15.75" customHeight="1" s="15"/>
    <row r="853" ht="15.75" customHeight="1" s="15"/>
    <row r="854" ht="15.75" customHeight="1" s="15"/>
    <row r="855" ht="15.75" customHeight="1" s="15"/>
    <row r="856" ht="15.75" customHeight="1" s="15"/>
    <row r="857" ht="15.75" customHeight="1" s="15"/>
    <row r="858" ht="15.75" customHeight="1" s="15"/>
    <row r="859" ht="15.75" customHeight="1" s="15"/>
    <row r="860" ht="15.75" customHeight="1" s="15"/>
    <row r="861" ht="15.75" customHeight="1" s="15"/>
    <row r="862" ht="15.75" customHeight="1" s="15"/>
    <row r="863" ht="15.75" customHeight="1" s="15"/>
    <row r="864" ht="15.75" customHeight="1" s="15"/>
    <row r="865" ht="15.75" customHeight="1" s="15"/>
    <row r="866" ht="15.75" customHeight="1" s="15"/>
    <row r="867" ht="15.75" customHeight="1" s="15"/>
    <row r="868" ht="15.75" customHeight="1" s="15"/>
    <row r="869" ht="15.75" customHeight="1" s="15"/>
    <row r="870" ht="15.75" customHeight="1" s="15"/>
    <row r="871" ht="15.75" customHeight="1" s="15"/>
    <row r="872" ht="15.75" customHeight="1" s="15"/>
    <row r="873" ht="15.75" customHeight="1" s="15"/>
    <row r="874" ht="15.75" customHeight="1" s="15"/>
    <row r="875" ht="15.75" customHeight="1" s="15"/>
    <row r="876" ht="15.75" customHeight="1" s="15"/>
    <row r="877" ht="15.75" customHeight="1" s="15"/>
    <row r="878" ht="15.75" customHeight="1" s="15"/>
    <row r="879" ht="15.75" customHeight="1" s="15"/>
    <row r="880" ht="15.75" customHeight="1" s="15"/>
    <row r="881" ht="15.75" customHeight="1" s="15"/>
    <row r="882" ht="15.75" customHeight="1" s="15"/>
    <row r="883" ht="15.75" customHeight="1" s="15"/>
    <row r="884" ht="15.75" customHeight="1" s="15"/>
    <row r="885" ht="15.75" customHeight="1" s="15"/>
    <row r="886" ht="15.75" customHeight="1" s="15"/>
    <row r="887" ht="15.75" customHeight="1" s="15"/>
    <row r="888" ht="15.75" customHeight="1" s="15"/>
    <row r="889" ht="15.75" customHeight="1" s="15"/>
    <row r="890" ht="15.75" customHeight="1" s="15"/>
    <row r="891" ht="15.75" customHeight="1" s="15"/>
    <row r="892" ht="15.75" customHeight="1" s="15"/>
    <row r="893" ht="15.75" customHeight="1" s="15"/>
    <row r="894" ht="15.75" customHeight="1" s="15"/>
    <row r="895" ht="15.75" customHeight="1" s="15"/>
    <row r="896" ht="15.75" customHeight="1" s="15"/>
    <row r="897" ht="15.75" customHeight="1" s="15"/>
    <row r="898" ht="15.75" customHeight="1" s="15"/>
    <row r="899" ht="15.75" customHeight="1" s="15"/>
    <row r="900" ht="15.75" customHeight="1" s="15"/>
    <row r="901" ht="15.75" customHeight="1" s="15"/>
    <row r="902" ht="15.75" customHeight="1" s="15"/>
    <row r="903" ht="15.75" customHeight="1" s="15"/>
    <row r="904" ht="15.75" customHeight="1" s="15"/>
    <row r="905" ht="15.75" customHeight="1" s="15"/>
    <row r="906" ht="15.75" customHeight="1" s="15"/>
    <row r="907" ht="15.75" customHeight="1" s="15"/>
    <row r="908" ht="15.75" customHeight="1" s="15"/>
    <row r="909" ht="15.75" customHeight="1" s="15"/>
    <row r="910" ht="15.75" customHeight="1" s="15"/>
    <row r="911" ht="15.75" customHeight="1" s="15"/>
    <row r="912" ht="15.75" customHeight="1" s="15"/>
    <row r="913" ht="15.75" customHeight="1" s="15"/>
    <row r="914" ht="15.75" customHeight="1" s="15"/>
    <row r="915" ht="15.75" customHeight="1" s="15"/>
    <row r="916" ht="15.75" customHeight="1" s="15"/>
    <row r="917" ht="15.75" customHeight="1" s="15"/>
    <row r="918" ht="15.75" customHeight="1" s="15"/>
    <row r="919" ht="15.75" customHeight="1" s="15"/>
    <row r="920" ht="15.75" customHeight="1" s="15"/>
    <row r="921" ht="15.75" customHeight="1" s="15"/>
    <row r="922" ht="15.75" customHeight="1" s="15"/>
    <row r="923" ht="15.75" customHeight="1" s="15"/>
    <row r="924" ht="15.75" customHeight="1" s="15"/>
    <row r="925" ht="15.75" customHeight="1" s="15"/>
    <row r="926" ht="15.75" customHeight="1" s="15"/>
    <row r="927" ht="15.75" customHeight="1" s="15"/>
    <row r="928" ht="15.75" customHeight="1" s="15"/>
    <row r="929" ht="15.75" customHeight="1" s="15"/>
    <row r="930" ht="15.75" customHeight="1" s="15"/>
    <row r="931" ht="15.75" customHeight="1" s="15"/>
    <row r="932" ht="15.75" customHeight="1" s="15"/>
    <row r="933" ht="15.75" customHeight="1" s="15"/>
    <row r="934" ht="15.75" customHeight="1" s="15"/>
    <row r="935" ht="15.75" customHeight="1" s="15"/>
    <row r="936" ht="15.75" customHeight="1" s="15"/>
    <row r="937" ht="15.75" customHeight="1" s="15"/>
    <row r="938" ht="15.75" customHeight="1" s="15"/>
    <row r="939" ht="15.75" customHeight="1" s="15"/>
    <row r="940" ht="15.75" customHeight="1" s="15"/>
    <row r="941" ht="15.75" customHeight="1" s="15"/>
    <row r="942" ht="15.75" customHeight="1" s="15"/>
    <row r="943" ht="15.75" customHeight="1" s="15"/>
    <row r="944" ht="15.75" customHeight="1" s="15"/>
    <row r="945" ht="15.75" customHeight="1" s="15"/>
    <row r="946" ht="15.75" customHeight="1" s="15"/>
    <row r="947" ht="15.75" customHeight="1" s="15"/>
    <row r="948" ht="15.75" customHeight="1" s="15"/>
    <row r="949" ht="15.75" customHeight="1" s="15"/>
    <row r="950" ht="15.75" customHeight="1" s="15"/>
    <row r="951" ht="15.75" customHeight="1" s="15"/>
    <row r="952" ht="15.75" customHeight="1" s="15"/>
    <row r="953" ht="15.75" customHeight="1" s="15"/>
    <row r="954" ht="15.75" customHeight="1" s="15"/>
    <row r="955" ht="15.75" customHeight="1" s="15"/>
    <row r="956" ht="15.75" customHeight="1" s="15"/>
    <row r="957" ht="15.75" customHeight="1" s="15"/>
    <row r="958" ht="15.75" customHeight="1" s="15"/>
    <row r="959" ht="15.75" customHeight="1" s="15"/>
    <row r="960" ht="15.75" customHeight="1" s="15"/>
    <row r="961" ht="15.75" customHeight="1" s="15"/>
    <row r="962" ht="15.75" customHeight="1" s="15"/>
    <row r="963" ht="15.75" customHeight="1" s="15"/>
    <row r="964" ht="15.75" customHeight="1" s="15"/>
    <row r="965" ht="15.75" customHeight="1" s="15"/>
    <row r="966" ht="15.75" customHeight="1" s="15"/>
    <row r="967" ht="15.75" customHeight="1" s="15"/>
    <row r="968" ht="15.75" customHeight="1" s="15"/>
    <row r="969" ht="15.75" customHeight="1" s="15"/>
    <row r="970" ht="15.75" customHeight="1" s="15"/>
    <row r="971" ht="15.75" customHeight="1" s="15"/>
    <row r="972" ht="15.75" customHeight="1" s="15"/>
    <row r="973" ht="15.75" customHeight="1" s="15"/>
    <row r="974" ht="15.75" customHeight="1" s="15"/>
    <row r="975" ht="15.75" customHeight="1" s="15"/>
    <row r="976" ht="15.75" customHeight="1" s="15"/>
    <row r="977" ht="15.75" customHeight="1" s="15"/>
    <row r="978" ht="15.75" customHeight="1" s="15"/>
    <row r="979" ht="15.75" customHeight="1" s="15"/>
    <row r="980" ht="15.75" customHeight="1" s="15"/>
    <row r="981" ht="15.75" customHeight="1" s="15"/>
    <row r="982" ht="15.75" customHeight="1" s="15"/>
    <row r="983" ht="15.75" customHeight="1" s="15"/>
    <row r="984" ht="15.75" customHeight="1" s="15"/>
    <row r="985" ht="15.75" customHeight="1" s="15"/>
    <row r="986" ht="15.75" customHeight="1" s="15"/>
    <row r="987" ht="15.75" customHeight="1" s="15"/>
    <row r="988" ht="15.75" customHeight="1" s="15"/>
    <row r="989" ht="15.75" customHeight="1" s="15"/>
    <row r="990" ht="15.75" customHeight="1" s="15"/>
    <row r="991" ht="15.75" customHeight="1" s="15"/>
    <row r="992" ht="15.75" customHeight="1" s="15"/>
    <row r="993" ht="15.75" customHeight="1" s="15"/>
    <row r="994" ht="15.75" customHeight="1" s="15"/>
    <row r="995" ht="15.75" customHeight="1" s="15"/>
    <row r="996" ht="15.75" customHeight="1" s="15"/>
    <row r="997" ht="15.75" customHeight="1" s="15"/>
    <row r="998" ht="15.75" customHeight="1" s="15"/>
    <row r="999" ht="15.75" customHeight="1" s="15"/>
    <row r="1000" ht="15.75" customHeight="1" s="15"/>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2026-07-18T18:56:10Z</dcterms:created>
  <dcterms:modified xsi:type="dcterms:W3CDTF">2026-07-18T19:07:32Z</dcterms:modified>
</cp:coreProperties>
</file>