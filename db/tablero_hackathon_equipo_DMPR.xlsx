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02afa7a89934707" /></Relationships>
</file>

<file path=xl/workbook.xml><?xml version="1.0" encoding="utf-8"?>
<x:workbook xmlns:x="http://schemas.openxmlformats.org/spreadsheetml/2006/main">
  <x:sheets>
    <x:sheet xmlns:r="http://schemas.openxmlformats.org/officeDocument/2006/relationships" name="Dashboard" sheetId="1" r:id="R393788a025c34377"/>
    <x:sheet xmlns:r="http://schemas.openxmlformats.org/officeDocument/2006/relationships" name="Sprint Board" sheetId="2" r:id="R5146e47da19d4cc0"/>
    <x:sheet xmlns:r="http://schemas.openxmlformats.org/officeDocument/2006/relationships" name="Sprint Plan" sheetId="3" r:id="R0d3d114c3cca4182"/>
    <x:sheet xmlns:r="http://schemas.openxmlformats.org/officeDocument/2006/relationships" name="Accounts &amp; Data" sheetId="4" r:id="Rfddec31a3bc94bf1"/>
    <x:sheet xmlns:r="http://schemas.openxmlformats.org/officeDocument/2006/relationships" name="DB Corrections" sheetId="5" r:id="R7ff3b22136df4146"/>
    <x:sheet xmlns:r="http://schemas.openxmlformats.org/officeDocument/2006/relationships" name="UI Screens" sheetId="6" r:id="Rf65aa887b1104f33"/>
    <x:sheet xmlns:r="http://schemas.openxmlformats.org/officeDocument/2006/relationships" name="Risks" sheetId="7" r:id="Re7f56bd4188642d8"/>
    <x:sheet xmlns:r="http://schemas.openxmlformats.org/officeDocument/2006/relationships" name="Lists" sheetId="8" r:id="R8109283affd94ea5"/>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4">
    <x:font>
      <x:sz val="11"/>
      <x:name val="Carlito"/>
    </x:font>
    <x:font>
      <x:b/>
      <x:sz val="11"/>
      <x:color rgb="FFFFFFFF"/>
      <x:name val="Carlito"/>
    </x:font>
    <x:font>
      <x:b/>
      <x:sz val="18"/>
      <x:color rgb="FFFFFFFF"/>
      <x:name val="Carlito"/>
    </x:font>
    <x:font>
      <x:b/>
      <x:sz val="11"/>
      <x:color rgb="FF17212B"/>
      <x:name val="Carlito"/>
    </x:font>
  </x:fonts>
  <x:fills count="5">
    <x:fill>
      <x:patternFill patternType="none"/>
    </x:fill>
    <x:fill>
      <x:patternFill patternType="gray125"/>
    </x:fill>
    <x:fill>
      <x:patternFill patternType="solid">
        <x:fgColor rgb="FF0B6B4F"/>
      </x:patternFill>
    </x:fill>
    <x:fill>
      <x:patternFill patternType="solid">
        <x:fgColor rgb="FF17212B"/>
      </x:patternFill>
    </x:fill>
    <x:fill>
      <x:patternFill patternType="solid">
        <x:fgColor rgb="FFDDF5E9"/>
      </x:patternFill>
    </x:fill>
  </x:fills>
  <x:borders count="2">
    <x:border/>
    <x:border/>
  </x:borders>
  <x:cellStyleXfs count="1">
    <x:xf numFmtId="0" fontId="0" fillId="0" borderId="0"/>
  </x:cellStyleXfs>
  <x:cellXfs count="3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horizontal="center" vertical="center" wrapText="1"/>
    </x:xf>
    <x:xf numFmtId="0" fontId="0" fillId="0" borderId="1" xfId="0" applyNumberFormat="1" applyFont="1" applyFill="1" applyBorder="1" applyAlignment="1">
      <x:alignment wrapText="1"/>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left"/>
    </x:xf>
    <x:xf numFmtId="0" fontId="2" fillId="3" borderId="0" xfId="0" applyNumberFormat="1" applyFont="1" applyFill="1" applyBorder="1" applyAlignment="1">
      <x:alignment horizontal="left"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left"/>
    </x:xf>
    <x:xf numFmtId="0" fontId="2" fillId="3" borderId="1" xfId="0" applyNumberFormat="1" applyFont="1" applyFill="1" applyBorder="1" applyAlignment="1">
      <x:alignment horizontal="left"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left"/>
    </x:xf>
    <x:xf numFmtId="0" fontId="3" fillId="4" borderId="0" xfId="0" applyNumberFormat="1" applyFont="1" applyFill="1" applyBorder="1" applyAlignment="1">
      <x:alignment horizontal="left" vertical="center"/>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horizontal="left"/>
    </x:xf>
    <x:xf numFmtId="0" fontId="3" fillId="4" borderId="1" xfId="0" applyNumberFormat="1" applyFont="1" applyFill="1" applyBorder="1" applyAlignment="1">
      <x:alignment horizontal="left" vertical="center"/>
    </x:xf>
    <x:xf numFmtId="0" fontId="2" fillId="3" borderId="0" xfId="0" applyNumberFormat="1" applyFont="1" applyFill="1" applyBorder="1" applyAlignment="1">
      <x:alignment horizontal="left" vertical="center" wrapText="1"/>
    </x:xf>
    <x:xf numFmtId="0" fontId="3" fillId="4" borderId="0" xfId="0" applyNumberFormat="1" applyFont="1" applyFill="1" applyBorder="1" applyAlignment="1">
      <x:alignment horizontal="left" vertical="center" wrapText="1"/>
    </x:xf>
    <x:xf numFmtId="0" fontId="2" fillId="3" borderId="1" xfId="0" applyNumberFormat="1" applyFont="1" applyFill="1" applyBorder="1" applyAlignment="1">
      <x:alignment horizontal="left" vertical="center" wrapText="1"/>
    </x:xf>
    <x:xf numFmtId="0" fontId="3" fillId="4" borderId="1" xfId="0" applyNumberFormat="1" applyFont="1" applyFill="1" applyBorder="1" applyAlignment="1">
      <x:alignment horizontal="left" vertical="center" wrapText="1"/>
    </x:xf>
  </x:cellXfs>
  <x:cellStyles count="1">
    <x:cellStyle name="Normal" xfId="0"/>
  </x:cellStyles>
  <x:dxfs count="7">
    <x:dxf>
      <x:font>
        <x:color rgb="FF274E13"/>
      </x:font>
      <x:fill>
        <x:patternFill patternType="solid">
          <x:bgColor rgb="FFD9EAD3"/>
        </x:patternFill>
      </x:fill>
    </x:dxf>
    <x:dxf>
      <x:font>
        <x:color rgb="FF7F6000"/>
      </x:font>
      <x:fill>
        <x:patternFill patternType="solid">
          <x:bgColor rgb="FFFFF2CC"/>
        </x:patternFill>
      </x:fill>
    </x:dxf>
    <x:dxf>
      <x:font>
        <x:color rgb="FF990000"/>
      </x:font>
      <x:fill>
        <x:patternFill patternType="solid">
          <x:bgColor rgb="FFF4CCCC"/>
        </x:patternFill>
      </x:fill>
    </x:dxf>
    <x:dxf>
      <x:font>
        <x:b/>
        <x:color rgb="FFB3261E"/>
      </x:font>
      <x:fill>
        <x:patternFill patternType="solid">
          <x:bgColor rgb="FFFCE8E6"/>
        </x:patternFill>
      </x:fill>
    </x:dxf>
    <x:dxf>
      <x:fill>
        <x:patternFill patternType="solid">
          <x:bgColor rgb="FFD9EAD3"/>
        </x:patternFill>
      </x:fill>
    </x:dxf>
    <x:dxf>
      <x:font>
        <x:b/>
      </x:font>
      <x:fill>
        <x:patternFill patternType="solid">
          <x:bgColor rgb="FFF4CCCC"/>
        </x:patternFill>
      </x:fill>
    </x:dxf>
    <x:dxf>
      <x:fill>
        <x:patternFill patternType="solid">
          <x:bgColor rgb="FFFCE5CD"/>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1f9e8be18834d65" /><Relationship Type="http://schemas.openxmlformats.org/officeDocument/2006/relationships/theme" Target="/xl/theme/theme1.xml" Id="R093da2e9fd084be0" /><Relationship Type="http://schemas.openxmlformats.org/officeDocument/2006/relationships/sharedStrings" Target="/xl/sharedStrings.xml" Id="Rc9be678ff5ca46da" /><Relationship Type="http://schemas.openxmlformats.org/officeDocument/2006/relationships/worksheet" Target="/xl/worksheets/sheet1.xml" Id="R393788a025c34377" /><Relationship Type="http://schemas.openxmlformats.org/officeDocument/2006/relationships/worksheet" Target="/xl/worksheets/sheet2.xml" Id="R5146e47da19d4cc0" /><Relationship Type="http://schemas.openxmlformats.org/officeDocument/2006/relationships/worksheet" Target="/xl/worksheets/sheet3.xml" Id="R0d3d114c3cca4182" /><Relationship Type="http://schemas.openxmlformats.org/officeDocument/2006/relationships/worksheet" Target="/xl/worksheets/sheet4.xml" Id="Rfddec31a3bc94bf1" /><Relationship Type="http://schemas.openxmlformats.org/officeDocument/2006/relationships/worksheet" Target="/xl/worksheets/sheet5.xml" Id="R7ff3b22136df4146" /><Relationship Type="http://schemas.openxmlformats.org/officeDocument/2006/relationships/worksheet" Target="/xl/worksheets/sheet6.xml" Id="Rf65aa887b1104f33" /><Relationship Type="http://schemas.openxmlformats.org/officeDocument/2006/relationships/worksheet" Target="/xl/worksheets/sheet7.xml" Id="Re7f56bd4188642d8" /><Relationship Type="http://schemas.openxmlformats.org/officeDocument/2006/relationships/worksheet" Target="/xl/worksheets/sheet8.xml" Id="R8109283affd94ea5" /></Relationships>
</file>

<file path=xl/drawings/_rels/drawing1.xml.rels>&#65279;<?xml version="1.0" encoding="utf-8"?><Relationships xmlns="http://schemas.openxmlformats.org/package/2006/relationships"><Relationship Type="http://schemas.openxmlformats.org/officeDocument/2006/relationships/chart" Target="/xl/drawings/charts/chart1.xml" Id="R5ae2a003c0b541e0"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Horas planificadas por integrante</a:t>
            </a:r>
          </a:p>
        </c:rich>
      </c:tx>
      <c:overlay val="0"/>
    </c:title>
    <c:autoTitleDeleted val="0"/>
    <c:plotArea>
      <c:layout/>
      <c:barChart>
        <c:barDir val="col"/>
        <c:varyColors val="0"/>
        <c:ser>
          <c:idx val="0"/>
          <c:order val="0"/>
          <c:tx>
            <c:v>D</c:v>
          </c:tx>
          <c:cat>
            <c:strRef>
              <c:f>'Dashboard'!$D$6</c:f>
              <c:strCache>
                <c:ptCount val="0"/>
              </c:strCache>
            </c:strRef>
          </c:cat>
          <c:val>
            <c:numRef>
              <c:f>'Dashboard'!$E$6</c:f>
              <c:numCache>
                <c:formatCode>General</c:formatCode>
                <c:ptCount val="0"/>
              </c:numCache>
            </c:numRef>
          </c:val>
        </c:ser>
        <c:ser>
          <c:idx val="1"/>
          <c:order val="1"/>
          <c:tx>
            <c:v>M</c:v>
          </c:tx>
          <c:cat>
            <c:strRef>
              <c:f>'Dashboard'!$D$6</c:f>
              <c:strCache>
                <c:ptCount val="0"/>
              </c:strCache>
            </c:strRef>
          </c:cat>
          <c:val>
            <c:numRef>
              <c:f>'Dashboard'!$F$6</c:f>
              <c:numCache>
                <c:formatCode>General</c:formatCode>
                <c:ptCount val="0"/>
              </c:numCache>
            </c:numRef>
          </c:val>
        </c:ser>
        <c:ser>
          <c:idx val="2"/>
          <c:order val="2"/>
          <c:tx>
            <c:v>P</c:v>
          </c:tx>
          <c:cat>
            <c:strRef>
              <c:f>'Dashboard'!$D$6</c:f>
              <c:strCache>
                <c:ptCount val="0"/>
              </c:strCache>
            </c:strRef>
          </c:cat>
          <c:val>
            <c:numRef>
              <c:f>'Dashboard'!$G$6</c:f>
              <c:numCache>
                <c:formatCode>General</c:formatCode>
                <c:ptCount val="0"/>
              </c:numCache>
            </c:numRef>
          </c:val>
        </c:ser>
        <c:ser>
          <c:idx val="3"/>
          <c:order val="3"/>
          <c:tx>
            <c:v>R</c:v>
          </c:tx>
          <c:cat>
            <c:strRef>
              <c:f>'Dashboard'!$D$6</c:f>
              <c:strCache>
                <c:ptCount val="0"/>
              </c:strCache>
            </c:strRef>
          </c:cat>
          <c:val>
            <c:numRef>
              <c:f>'Dashboard'!$H$6</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9</xdr:col>
      <xdr:colOff>0</xdr:colOff>
      <xdr:row>2</xdr:row>
      <xdr:rowOff>0</xdr:rowOff>
    </xdr:from>
    <xdr:to>
      <xdr:col>17</xdr:col>
      <xdr:colOff>0</xdr:colOff>
      <xdr:row>16</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ae2a003c0b541e0"/>
        </a:graphicData>
      </a:graphic>
    </xdr:graphicFrame>
    <xdr:clientData/>
  </xdr:twoCellAnchor>
</xdr:wsDr>
</file>

<file path=xl/tables/table1.xml><?xml version="1.0" encoding="utf-8"?>
<x:table xmlns:x="http://schemas.openxmlformats.org/spreadsheetml/2006/main" id="1" name="SprintTasksTable" displayName="SprintTasksTable" ref="A1:L67" headerRowCount="1">
  <x:tableColumns count="12">
    <x:tableColumn id="1" name="ID"/>
    <x:tableColumn id="2" name="Sprint"/>
    <x:tableColumn id="3" name="Épica"/>
    <x:tableColumn id="4" name="Tarea exacta"/>
    <x:tableColumn id="5" name="Responsable"/>
    <x:tableColumn id="6" name="Apoyo"/>
    <x:tableColumn id="7" name="Prioridad"/>
    <x:tableColumn id="8" name="Estado"/>
    <x:tableColumn id="9" name="Horas"/>
    <x:tableColumn id="10" name="Dependencias"/>
    <x:tableColumn id="11" name="Criterio de aceptación"/>
    <x:tableColumn id="12" name="Entregable"/>
  </x:tableColumns>
  <x:tableStyleInfo name="TableStyleMedium2" showRowStripes="1"/>
</x:table>
</file>

<file path=xl/tables/table2.xml><?xml version="1.0" encoding="utf-8"?>
<x:table xmlns:x="http://schemas.openxmlformats.org/spreadsheetml/2006/main" id="2" name="SprintPlanTable" displayName="SprintPlanTable" ref="A1:E6" headerRowCount="1">
  <x:tableColumns count="5">
    <x:tableColumn id="1" name="Sprint"/>
    <x:tableColumn id="2" name="Ventana"/>
    <x:tableColumn id="3" name="Objetivo"/>
    <x:tableColumn id="4" name="Resultado esperado"/>
    <x:tableColumn id="5" name="Criterio de salida"/>
  </x:tableColumns>
  <x:tableStyleInfo name="TableStyleMedium2" showRowStripes="1"/>
</x:table>
</file>

<file path=xl/tables/table3.xml><?xml version="1.0" encoding="utf-8"?>
<x:table xmlns:x="http://schemas.openxmlformats.org/spreadsheetml/2006/main" id="3" name="AccountsDataTable" displayName="AccountsDataTable" ref="A1:G25" headerRowCount="1">
  <x:tableColumns count="7">
    <x:tableColumn id="1" name="Tipo"/>
    <x:tableColumn id="2" name="Elemento"/>
    <x:tableColumn id="3" name="Responsable"/>
    <x:tableColumn id="4" name="Sprint"/>
    <x:tableColumn id="5" name="Prioridad"/>
    <x:tableColumn id="6" name="Estado"/>
    <x:tableColumn id="7" name="Criterio/Notas"/>
  </x:tableColumns>
  <x:tableStyleInfo name="TableStyleMedium2" showRowStripes="1"/>
</x:table>
</file>

<file path=xl/tables/table4.xml><?xml version="1.0" encoding="utf-8"?>
<x:table xmlns:x="http://schemas.openxmlformats.org/spreadsheetml/2006/main" id="4" name="DBCorrectionsTable" displayName="DBCorrectionsTable" ref="A1:F21" headerRowCount="1">
  <x:tableColumns count="6">
    <x:tableColumn id="1" name="ID"/>
    <x:tableColumn id="2" name="Corrección exacta"/>
    <x:tableColumn id="3" name="Responsable"/>
    <x:tableColumn id="4" name="Prioridad"/>
    <x:tableColumn id="5" name="Estado"/>
    <x:tableColumn id="6" name="Criterio de aceptación"/>
  </x:tableColumns>
  <x:tableStyleInfo name="TableStyleMedium2" showRowStripes="1"/>
</x:table>
</file>

<file path=xl/tables/table5.xml><?xml version="1.0" encoding="utf-8"?>
<x:table xmlns:x="http://schemas.openxmlformats.org/spreadsheetml/2006/main" id="5" name="UIScreenTable" displayName="UIScreenTable" ref="A1:E47" headerRowCount="1">
  <x:tableColumns count="5">
    <x:tableColumn id="1" name="ID"/>
    <x:tableColumn id="2" name="Pantalla/Grupo"/>
    <x:tableColumn id="3" name="Responsable"/>
    <x:tableColumn id="4" name="Sprint"/>
    <x:tableColumn id="5" name="Prioridad"/>
  </x:tableColumns>
  <x:tableStyleInfo name="TableStyleMedium2" showRowStripes="1"/>
</x:table>
</file>

<file path=xl/tables/table6.xml><?xml version="1.0" encoding="utf-8"?>
<x:table xmlns:x="http://schemas.openxmlformats.org/spreadsheetml/2006/main" id="6" name="RiskRegisterTable" displayName="RiskRegisterTable" ref="A1:F15" headerRowCount="1">
  <x:tableColumns count="6">
    <x:tableColumn id="1" name="ID"/>
    <x:tableColumn id="2" name="Riesgo"/>
    <x:tableColumn id="3" name="Impacto"/>
    <x:tableColumn id="4" name="Probabilidad"/>
    <x:tableColumn id="5" name="Responsable"/>
    <x:tableColumn id="6" name="Mitigación"/>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3a9398ef9dea4386" /></Relationships>
</file>

<file path=xl/worksheets/_rels/sheet2.xml.rels>&#65279;<?xml version="1.0" encoding="utf-8"?><Relationships xmlns="http://schemas.openxmlformats.org/package/2006/relationships"><Relationship Type="http://schemas.openxmlformats.org/officeDocument/2006/relationships/table" Target="/xl/tables/table1.xml" Id="R3ed45de6530b4e69" /></Relationships>
</file>

<file path=xl/worksheets/_rels/sheet3.xml.rels>&#65279;<?xml version="1.0" encoding="utf-8"?><Relationships xmlns="http://schemas.openxmlformats.org/package/2006/relationships"><Relationship Type="http://schemas.openxmlformats.org/officeDocument/2006/relationships/table" Target="/xl/tables/table2.xml" Id="R3935dc0bc46d4add" /></Relationships>
</file>

<file path=xl/worksheets/_rels/sheet4.xml.rels>&#65279;<?xml version="1.0" encoding="utf-8"?><Relationships xmlns="http://schemas.openxmlformats.org/package/2006/relationships"><Relationship Type="http://schemas.openxmlformats.org/officeDocument/2006/relationships/table" Target="/xl/tables/table3.xml" Id="Re52d3486af5d42a0" /></Relationships>
</file>

<file path=xl/worksheets/_rels/sheet5.xml.rels>&#65279;<?xml version="1.0" encoding="utf-8"?><Relationships xmlns="http://schemas.openxmlformats.org/package/2006/relationships"><Relationship Type="http://schemas.openxmlformats.org/officeDocument/2006/relationships/table" Target="/xl/tables/table4.xml" Id="R84e0e15465f24895" /></Relationships>
</file>

<file path=xl/worksheets/_rels/sheet6.xml.rels>&#65279;<?xml version="1.0" encoding="utf-8"?><Relationships xmlns="http://schemas.openxmlformats.org/package/2006/relationships"><Relationship Type="http://schemas.openxmlformats.org/officeDocument/2006/relationships/table" Target="/xl/tables/table5.xml" Id="Rca5ac313cec34dfe" /></Relationships>
</file>

<file path=xl/worksheets/_rels/sheet7.xml.rels>&#65279;<?xml version="1.0" encoding="utf-8"?><Relationships xmlns="http://schemas.openxmlformats.org/package/2006/relationships"><Relationship Type="http://schemas.openxmlformats.org/officeDocument/2006/relationships/table" Target="/xl/tables/table6.xml" Id="Rd27c38b5ddfa4b5e" /></Relationships>
</file>

<file path=xl/worksheets/sheet1.xml><?xml version="1.0" encoding="utf-8"?>
<x:worksheet xmlns:x="http://schemas.openxmlformats.org/spreadsheetml/2006/main">
  <x:sheetFormatPr defaultRowHeight="15"/>
  <x:cols>
    <x:col min="1" max="1" width="16" hidden="0" customWidth="1"/>
    <x:col min="2" max="2" width="22" hidden="0" customWidth="1"/>
    <x:col min="3" max="3" width="4" hidden="0" customWidth="1"/>
    <x:col min="4" max="4" width="18" hidden="0" customWidth="1"/>
    <x:col min="5" max="5" width="18" hidden="0" customWidth="1"/>
    <x:col min="6" max="6" width="18" hidden="0" customWidth="1"/>
    <x:col min="7" max="7" width="18" hidden="0" customWidth="1"/>
    <x:col min="8" max="8" width="18" hidden="0" customWidth="1"/>
  </x:cols>
  <x:sheetData>
    <x:row r="1">
      <x:c r="A1" s="32" t="str">
        <x:v>TABLERO DE HACKATHON — EQUIPO D · M · P · R</x:v>
      </x:c>
      <x:c r="B1" s="32"/>
      <x:c r="C1" s="32"/>
      <x:c r="D1" s="32"/>
      <x:c r="E1" s="32"/>
      <x:c r="F1" s="32"/>
      <x:c r="G1" s="32"/>
      <x:c r="H1" s="32"/>
      <x:c r="I1" s="11"/>
      <x:c r="J1" s="11"/>
      <x:c r="K1" s="11"/>
      <x:c r="L1" s="11"/>
      <x:c r="M1" s="11"/>
      <x:c r="N1" s="11"/>
      <x:c r="O1" s="11"/>
      <x:c r="P1" s="11"/>
      <x:c r="Q1" s="11"/>
    </x:row>
    <x:row r="2">
      <x:c r="A2" s="32"/>
      <x:c r="B2" s="32"/>
      <x:c r="C2" s="32"/>
      <x:c r="D2" s="32"/>
      <x:c r="E2" s="32"/>
      <x:c r="F2" s="32"/>
      <x:c r="G2" s="32"/>
      <x:c r="H2" s="32"/>
      <x:c r="I2" s="11"/>
      <x:c r="J2" s="11"/>
      <x:c r="K2" s="11"/>
      <x:c r="L2" s="11"/>
      <x:c r="M2" s="11"/>
      <x:c r="N2" s="11"/>
      <x:c r="O2" s="11"/>
      <x:c r="P2" s="11"/>
      <x:c r="Q2" s="11"/>
    </x:row>
    <x:row r="3">
      <x:c r="A3" s="11"/>
      <x:c r="B3" s="11"/>
      <x:c r="C3" s="11"/>
      <x:c r="D3" s="11"/>
      <x:c r="E3" s="11"/>
      <x:c r="F3" s="11"/>
      <x:c r="G3" s="11"/>
      <x:c r="H3" s="11"/>
      <x:c r="I3" s="11"/>
      <x:c r="J3" s="11"/>
      <x:c r="K3" s="11"/>
      <x:c r="L3" s="11"/>
      <x:c r="M3" s="11"/>
      <x:c r="N3" s="11"/>
      <x:c r="O3" s="11"/>
      <x:c r="P3" s="11"/>
      <x:c r="Q3" s="11"/>
    </x:row>
    <x:row r="4">
      <x:c r="A4" s="33" t="str">
        <x:v>Estado general</x:v>
      </x:c>
      <x:c r="B4" s="33"/>
      <x:c r="C4" s="11"/>
      <x:c r="D4" s="33" t="str">
        <x:v>Carga estimada por integrante</x:v>
      </x:c>
      <x:c r="E4" s="33"/>
      <x:c r="F4" s="33"/>
      <x:c r="G4" s="33"/>
      <x:c r="H4" s="33"/>
      <x:c r="I4" s="11"/>
      <x:c r="J4" s="11"/>
      <x:c r="K4" s="11"/>
      <x:c r="L4" s="11"/>
      <x:c r="M4" s="11"/>
      <x:c r="N4" s="11"/>
      <x:c r="O4" s="11"/>
      <x:c r="P4" s="11"/>
      <x:c r="Q4" s="11"/>
    </x:row>
    <x:row r="5">
      <x:c r="A5" s="10" t="str">
        <x:v>Métrica</x:v>
      </x:c>
      <x:c r="B5" s="10" t="str">
        <x:v>Valor</x:v>
      </x:c>
      <x:c r="C5" s="11"/>
      <x:c r="D5" s="10" t="str">
        <x:v>Integrante</x:v>
      </x:c>
      <x:c r="E5" s="10" t="str">
        <x:v>D</x:v>
      </x:c>
      <x:c r="F5" s="10" t="str">
        <x:v>M</x:v>
      </x:c>
      <x:c r="G5" s="10" t="str">
        <x:v>P</x:v>
      </x:c>
      <x:c r="H5" s="10" t="str">
        <x:v>R</x:v>
      </x:c>
      <x:c r="I5" s="11"/>
      <x:c r="J5" s="11"/>
      <x:c r="K5" s="11"/>
      <x:c r="L5" s="11"/>
      <x:c r="M5" s="11"/>
      <x:c r="N5" s="11"/>
      <x:c r="O5" s="11"/>
      <x:c r="P5" s="11"/>
      <x:c r="Q5" s="11"/>
    </x:row>
    <x:row r="6">
      <x:c r="A6" s="11" t="str">
        <x:v>Tareas totales</x:v>
      </x:c>
      <x:c r="B6" s="11" t="n">
        <x:f>COUNTA('Sprint Board'!A2:A67)</x:f>
        <x:v>66</x:v>
      </x:c>
      <x:c r="C6" s="11"/>
      <x:c r="D6" s="11" t="str">
        <x:v>Horas</x:v>
      </x:c>
      <x:c r="E6" s="11" t="n">
        <x:f>SUMIF('Sprint Board'!E2:E67,"D",'Sprint Board'!I2:I67)</x:f>
        <x:v>32</x:v>
      </x:c>
      <x:c r="F6" s="11" t="n">
        <x:f>SUMIF('Sprint Board'!E2:E67,"M",'Sprint Board'!I2:I67)</x:f>
        <x:v>32</x:v>
      </x:c>
      <x:c r="G6" s="11" t="n">
        <x:f>SUMIF('Sprint Board'!E2:E67,"P",'Sprint Board'!I2:I67)</x:f>
        <x:v>33</x:v>
      </x:c>
      <x:c r="H6" s="11" t="n">
        <x:f>SUMIF('Sprint Board'!E2:E67,"R",'Sprint Board'!I2:I67)</x:f>
        <x:v>31</x:v>
      </x:c>
      <x:c r="I6" s="11"/>
      <x:c r="J6" s="11"/>
      <x:c r="K6" s="11"/>
      <x:c r="L6" s="11"/>
      <x:c r="M6" s="11"/>
      <x:c r="N6" s="11"/>
      <x:c r="O6" s="11"/>
      <x:c r="P6" s="11"/>
      <x:c r="Q6" s="11"/>
    </x:row>
    <x:row r="7">
      <x:c r="A7" s="11" t="str">
        <x:v>Completadas</x:v>
      </x:c>
      <x:c r="B7" s="11" t="n">
        <x:f>COUNTIF('Sprint Board'!H2:H67,"Completada")</x:f>
        <x:v>0</x:v>
      </x:c>
      <x:c r="C7" s="11"/>
      <x:c r="D7" s="11" t="str">
        <x:v>Tareas</x:v>
      </x:c>
      <x:c r="E7" s="11" t="n">
        <x:f>COUNTIF('Sprint Board'!E2:E67,"D")</x:f>
        <x:v>16</x:v>
      </x:c>
      <x:c r="F7" s="11" t="n">
        <x:f>COUNTIF('Sprint Board'!E2:E67,"M")</x:f>
        <x:v>17</x:v>
      </x:c>
      <x:c r="G7" s="11" t="n">
        <x:f>COUNTIF('Sprint Board'!E2:E67,"P")</x:f>
        <x:v>17</x:v>
      </x:c>
      <x:c r="H7" s="11" t="n">
        <x:f>COUNTIF('Sprint Board'!E2:E67,"R")</x:f>
        <x:v>16</x:v>
      </x:c>
      <x:c r="I7" s="11"/>
      <x:c r="J7" s="11"/>
      <x:c r="K7" s="11"/>
      <x:c r="L7" s="11"/>
      <x:c r="M7" s="11"/>
      <x:c r="N7" s="11"/>
      <x:c r="O7" s="11"/>
      <x:c r="P7" s="11"/>
      <x:c r="Q7" s="11"/>
    </x:row>
    <x:row r="8">
      <x:c r="A8" s="11" t="str">
        <x:v>En progreso</x:v>
      </x:c>
      <x:c r="B8" s="11" t="n">
        <x:f>COUNTIF('Sprint Board'!H2:H67,"En progreso")</x:f>
        <x:v>0</x:v>
      </x:c>
      <x:c r="C8" s="11"/>
      <x:c r="D8" s="11" t="str">
        <x:v>Críticas</x:v>
      </x:c>
      <x:c r="E8" s="11" t="n">
        <x:f>COUNTIFS('Sprint Board'!E2:E67,"D",'Sprint Board'!G2:G67,"Crítica")</x:f>
        <x:v>5</x:v>
      </x:c>
      <x:c r="F8" s="11" t="n">
        <x:f>COUNTIFS('Sprint Board'!E2:E67,"M",'Sprint Board'!G2:G67,"Crítica")</x:f>
        <x:v>9</x:v>
      </x:c>
      <x:c r="G8" s="11" t="n">
        <x:f>COUNTIFS('Sprint Board'!E2:E67,"P",'Sprint Board'!G2:G67,"Crítica")</x:f>
        <x:v>9</x:v>
      </x:c>
      <x:c r="H8" s="11" t="n">
        <x:f>COUNTIFS('Sprint Board'!E2:E67,"R",'Sprint Board'!G2:G67,"Crítica")</x:f>
        <x:v>16</x:v>
      </x:c>
      <x:c r="I8" s="11"/>
      <x:c r="J8" s="11"/>
      <x:c r="K8" s="11"/>
      <x:c r="L8" s="11"/>
      <x:c r="M8" s="11"/>
      <x:c r="N8" s="11"/>
      <x:c r="O8" s="11"/>
      <x:c r="P8" s="11"/>
      <x:c r="Q8" s="11"/>
    </x:row>
    <x:row r="9">
      <x:c r="A9" s="11" t="str">
        <x:v>Bloqueadas</x:v>
      </x:c>
      <x:c r="B9" s="11" t="n">
        <x:f>COUNTIF('Sprint Board'!H2:H67,"Bloqueada")</x:f>
        <x:v>0</x:v>
      </x:c>
      <x:c r="C9" s="11"/>
      <x:c r="D9" s="11" t="str">
        <x:v>Completadas</x:v>
      </x:c>
      <x:c r="E9" s="11" t="n">
        <x:f>COUNTIFS('Sprint Board'!E2:E67,"D",'Sprint Board'!H2:H67,"Completada")</x:f>
        <x:v>0</x:v>
      </x:c>
      <x:c r="F9" s="11" t="n">
        <x:f>COUNTIFS('Sprint Board'!E2:E67,"M",'Sprint Board'!H2:H67,"Completada")</x:f>
        <x:v>0</x:v>
      </x:c>
      <x:c r="G9" s="11" t="n">
        <x:f>COUNTIFS('Sprint Board'!E2:E67,"P",'Sprint Board'!H2:H67,"Completada")</x:f>
        <x:v>0</x:v>
      </x:c>
      <x:c r="H9" s="11" t="n">
        <x:f>COUNTIFS('Sprint Board'!E2:E67,"R",'Sprint Board'!H2:H67,"Completada")</x:f>
        <x:v>0</x:v>
      </x:c>
      <x:c r="I9" s="11"/>
      <x:c r="J9" s="11"/>
      <x:c r="K9" s="11"/>
      <x:c r="L9" s="11"/>
      <x:c r="M9" s="11"/>
      <x:c r="N9" s="11"/>
      <x:c r="O9" s="11"/>
      <x:c r="P9" s="11"/>
      <x:c r="Q9" s="11"/>
    </x:row>
    <x:row r="10">
      <x:c r="A10" s="11" t="str">
        <x:v>Horas planificadas</x:v>
      </x:c>
      <x:c r="B10" s="11" t="n">
        <x:f>SUM('Sprint Board'!I2:I67)</x:f>
        <x:v>128</x:v>
      </x:c>
      <x:c r="C10" s="11"/>
      <x:c r="D10" s="11"/>
      <x:c r="E10" s="11"/>
      <x:c r="F10" s="11"/>
      <x:c r="G10" s="11"/>
      <x:c r="H10" s="11"/>
      <x:c r="I10" s="11"/>
      <x:c r="J10" s="11"/>
      <x:c r="K10" s="11"/>
      <x:c r="L10" s="11"/>
      <x:c r="M10" s="11"/>
      <x:c r="N10" s="11"/>
      <x:c r="O10" s="11"/>
      <x:c r="P10" s="11"/>
      <x:c r="Q10" s="11"/>
    </x:row>
    <x:row r="11">
      <x:c r="A11" s="11"/>
      <x:c r="B11" s="11"/>
      <x:c r="C11" s="11"/>
      <x:c r="D11" s="11"/>
      <x:c r="E11" s="11"/>
      <x:c r="F11" s="11"/>
      <x:c r="G11" s="11"/>
      <x:c r="H11" s="11"/>
      <x:c r="I11" s="11"/>
      <x:c r="J11" s="11"/>
      <x:c r="K11" s="11"/>
      <x:c r="L11" s="11"/>
      <x:c r="M11" s="11"/>
      <x:c r="N11" s="11"/>
      <x:c r="O11" s="11"/>
      <x:c r="P11" s="11"/>
      <x:c r="Q11" s="11"/>
    </x:row>
    <x:row r="12">
      <x:c r="A12" s="33" t="str">
        <x:v>Responsabilidades principales</x:v>
      </x:c>
      <x:c r="B12" s="33"/>
      <x:c r="C12" s="33"/>
      <x:c r="D12" s="33"/>
      <x:c r="E12" s="33"/>
      <x:c r="F12" s="33"/>
      <x:c r="G12" s="33"/>
      <x:c r="H12" s="33"/>
      <x:c r="I12" s="11"/>
      <x:c r="J12" s="11"/>
      <x:c r="K12" s="11"/>
      <x:c r="L12" s="11"/>
      <x:c r="M12" s="11"/>
      <x:c r="N12" s="11"/>
      <x:c r="O12" s="11"/>
      <x:c r="P12" s="11"/>
      <x:c r="Q12" s="11"/>
    </x:row>
    <x:row r="13">
      <x:c r="A13" s="10" t="str">
        <x:v>Integrante</x:v>
      </x:c>
      <x:c r="B13" s="10" t="str">
        <x:v>Rol principal</x:v>
      </x:c>
      <x:c r="C13" s="10" t="str">
        <x:v>Responsabilidad crítica</x:v>
      </x:c>
      <x:c r="D13" s="10" t="str">
        <x:v>Apoya a</x:v>
      </x:c>
      <x:c r="E13" s="10" t="str">
        <x:v>No debe bloquearse por</x:v>
      </x:c>
      <x:c r="F13" s="11" t="str"/>
      <x:c r="G13" s="11" t="str"/>
      <x:c r="H13" s="11" t="str"/>
      <x:c r="I13" s="11"/>
      <x:c r="J13" s="11"/>
      <x:c r="K13" s="11"/>
      <x:c r="L13" s="11"/>
      <x:c r="M13" s="11"/>
      <x:c r="N13" s="11"/>
      <x:c r="O13" s="11"/>
      <x:c r="P13" s="11"/>
      <x:c r="Q13" s="11"/>
    </x:row>
    <x:row r="14">
      <x:c r="A14" s="11" t="str">
        <x:v>R</x:v>
      </x:c>
      <x:c r="B14" s="11" t="str">
        <x:v>Tech Lead / DB / Seguridad</x:v>
      </x:c>
      <x:c r="C14" s="11" t="str">
        <x:v>Migraciones, RLS, RPC, integración y deploy</x:v>
      </x:c>
      <x:c r="D14" s="11" t="str">
        <x:v>Todos</x:v>
      </x:c>
      <x:c r="E14" s="11" t="str">
        <x:v>Diseño visual</x:v>
      </x:c>
      <x:c r="F14" s="11" t="str"/>
      <x:c r="G14" s="11" t="str"/>
      <x:c r="H14" s="11" t="str"/>
      <x:c r="I14" s="11"/>
      <x:c r="J14" s="11"/>
      <x:c r="K14" s="11"/>
      <x:c r="L14" s="11"/>
      <x:c r="M14" s="11"/>
      <x:c r="N14" s="11"/>
      <x:c r="O14" s="11"/>
      <x:c r="P14" s="11"/>
      <x:c r="Q14" s="11"/>
    </x:row>
    <x:row r="15">
      <x:c r="A15" s="11" t="str">
        <x:v>D</x:v>
      </x:c>
      <x:c r="B15" s="11" t="str">
        <x:v>UX/UI / Frontend</x:v>
      </x:c>
      <x:c r="C15" s="11" t="str">
        <x:v>Design system, componentes y todas las pantallas críticas</x:v>
      </x:c>
      <x:c r="D15" s="11" t="str">
        <x:v>M y P</x:v>
      </x:c>
      <x:c r="E15" s="11" t="str">
        <x:v>Lógica interna del backend</x:v>
      </x:c>
      <x:c r="F15" s="11" t="str"/>
      <x:c r="G15" s="11" t="str"/>
      <x:c r="H15" s="11" t="str"/>
      <x:c r="I15" s="11"/>
      <x:c r="J15" s="11"/>
      <x:c r="K15" s="11"/>
      <x:c r="L15" s="11"/>
      <x:c r="M15" s="11"/>
      <x:c r="N15" s="11"/>
      <x:c r="O15" s="11"/>
      <x:c r="P15" s="11"/>
      <x:c r="Q15" s="11"/>
    </x:row>
    <x:row r="16">
      <x:c r="A16" s="11" t="str">
        <x:v>M</x:v>
      </x:c>
      <x:c r="B16" s="11" t="str">
        <x:v>Marketplace / Negociación</x:v>
      </x:c>
      <x:c r="C16" s="11" t="str">
        <x:v>Publicaciones, chat, propuestas, órdenes y datos demo</x:v>
      </x:c>
      <x:c r="D16" s="11" t="str">
        <x:v>D y R</x:v>
      </x:c>
      <x:c r="E16" s="11" t="str">
        <x:v>Mapas e IA</x:v>
      </x:c>
      <x:c r="F16" s="11" t="str"/>
      <x:c r="G16" s="11" t="str"/>
      <x:c r="H16" s="11" t="str"/>
      <x:c r="I16" s="11"/>
      <x:c r="J16" s="11"/>
      <x:c r="K16" s="11"/>
      <x:c r="L16" s="11"/>
      <x:c r="M16" s="11"/>
      <x:c r="N16" s="11"/>
      <x:c r="O16" s="11"/>
      <x:c r="P16" s="11"/>
      <x:c r="Q16" s="11"/>
    </x:row>
    <x:row r="17">
      <x:c r="A17" s="11" t="str">
        <x:v>P</x:v>
      </x:c>
      <x:c r="B17" s="11" t="str">
        <x:v>Logística / IA / Riesgo</x:v>
      </x:c>
      <x:c r="C17" s="11" t="str">
        <x:v>Vehículos, fletes, mapas, riesgo, precios y OpenAI</x:v>
      </x:c>
      <x:c r="D17" s="11" t="str">
        <x:v>D y R</x:v>
      </x:c>
      <x:c r="E17" s="11" t="str">
        <x:v>Autenticación y RLS general</x:v>
      </x:c>
      <x:c r="F17" s="11" t="str"/>
      <x:c r="G17" s="11" t="str"/>
      <x:c r="H17" s="11" t="str"/>
      <x:c r="I17" s="11"/>
      <x:c r="J17" s="11"/>
      <x:c r="K17" s="11"/>
      <x:c r="L17" s="11"/>
      <x:c r="M17" s="11"/>
      <x:c r="N17" s="11"/>
      <x:c r="O17" s="11"/>
      <x:c r="P17" s="11"/>
      <x:c r="Q17" s="11"/>
    </x:row>
    <x:row r="18">
      <x:c r="A18" s="11"/>
      <x:c r="B18" s="11"/>
      <x:c r="C18" s="11"/>
      <x:c r="D18" s="11"/>
      <x:c r="E18" s="11"/>
      <x:c r="F18" s="11"/>
      <x:c r="G18" s="11"/>
      <x:c r="H18" s="11"/>
      <x:c r="I18" s="11"/>
      <x:c r="J18" s="11"/>
      <x:c r="K18" s="11"/>
      <x:c r="L18" s="11"/>
      <x:c r="M18" s="11"/>
      <x:c r="N18" s="11"/>
      <x:c r="O18" s="11"/>
      <x:c r="P18" s="11"/>
      <x:c r="Q18" s="11"/>
    </x:row>
    <x:row r="19">
      <x:c r="A19" s="33" t="str">
        <x:v>Reglas de coordinación</x:v>
      </x:c>
      <x:c r="B19" s="33"/>
      <x:c r="C19" s="33"/>
      <x:c r="D19" s="33"/>
      <x:c r="E19" s="33"/>
      <x:c r="F19" s="33"/>
      <x:c r="G19" s="33"/>
      <x:c r="H19" s="33"/>
      <x:c r="I19" s="11"/>
      <x:c r="J19" s="11"/>
      <x:c r="K19" s="11"/>
      <x:c r="L19" s="11"/>
      <x:c r="M19" s="11"/>
      <x:c r="N19" s="11"/>
      <x:c r="O19" s="11"/>
      <x:c r="P19" s="11"/>
      <x:c r="Q19" s="11"/>
    </x:row>
    <x:row r="20">
      <x:c r="A20" s="11" t="str">
        <x:v>1</x:v>
      </x:c>
      <x:c r="B20" s="11" t="str">
        <x:v>Cada tarea tiene un único responsable; apoyo no significa copropiedad.</x:v>
      </x:c>
      <x:c r="C20" s="11" t="str"/>
      <x:c r="D20" s="11" t="str"/>
      <x:c r="E20" s="11" t="str"/>
      <x:c r="F20" s="11" t="str"/>
      <x:c r="G20" s="11" t="str"/>
      <x:c r="H20" s="11" t="str"/>
      <x:c r="I20" s="11"/>
      <x:c r="J20" s="11"/>
      <x:c r="K20" s="11"/>
      <x:c r="L20" s="11"/>
      <x:c r="M20" s="11"/>
      <x:c r="N20" s="11"/>
      <x:c r="O20" s="11"/>
      <x:c r="P20" s="11"/>
      <x:c r="Q20" s="11"/>
    </x:row>
    <x:row r="21">
      <x:c r="A21" s="11" t="str">
        <x:v>2</x:v>
      </x:c>
      <x:c r="B21" s="11" t="str">
        <x:v>Los contratos TypeScript y migraciones se actualizan por PR, no por mensajes sueltos.</x:v>
      </x:c>
      <x:c r="C21" s="11" t="str"/>
      <x:c r="D21" s="11" t="str"/>
      <x:c r="E21" s="11" t="str"/>
      <x:c r="F21" s="11" t="str"/>
      <x:c r="G21" s="11" t="str"/>
      <x:c r="H21" s="11" t="str"/>
      <x:c r="I21" s="11"/>
      <x:c r="J21" s="11"/>
      <x:c r="K21" s="11"/>
      <x:c r="L21" s="11"/>
      <x:c r="M21" s="11"/>
      <x:c r="N21" s="11"/>
      <x:c r="O21" s="11"/>
      <x:c r="P21" s="11"/>
      <x:c r="Q21" s="11"/>
    </x:row>
    <x:row r="22">
      <x:c r="A22" s="11" t="str">
        <x:v>3</x:v>
      </x:c>
      <x:c r="B22" s="11" t="str">
        <x:v>Bloqueos se reportan inmediatamente en el tablero y en el grupo.</x:v>
      </x:c>
      <x:c r="C22" s="11" t="str"/>
      <x:c r="D22" s="11" t="str"/>
      <x:c r="E22" s="11" t="str"/>
      <x:c r="F22" s="11" t="str"/>
      <x:c r="G22" s="11" t="str"/>
      <x:c r="H22" s="11" t="str"/>
      <x:c r="I22" s="11"/>
      <x:c r="J22" s="11"/>
      <x:c r="K22" s="11"/>
      <x:c r="L22" s="11"/>
      <x:c r="M22" s="11"/>
      <x:c r="N22" s="11"/>
      <x:c r="O22" s="11"/>
      <x:c r="P22" s="11"/>
      <x:c r="Q22" s="11"/>
    </x:row>
    <x:row r="23">
      <x:c r="A23" s="11" t="str">
        <x:v>4</x:v>
      </x:c>
      <x:c r="B23" s="11" t="str">
        <x:v>Después de Sprint 3 no se agregan funciones nuevas.</x:v>
      </x:c>
      <x:c r="C23" s="11" t="str"/>
      <x:c r="D23" s="11" t="str"/>
      <x:c r="E23" s="11" t="str"/>
      <x:c r="F23" s="11" t="str"/>
      <x:c r="G23" s="11" t="str"/>
      <x:c r="H23" s="11" t="str"/>
      <x:c r="I23" s="11"/>
      <x:c r="J23" s="11"/>
      <x:c r="K23" s="11"/>
      <x:c r="L23" s="11"/>
      <x:c r="M23" s="11"/>
      <x:c r="N23" s="11"/>
      <x:c r="O23" s="11"/>
      <x:c r="P23" s="11"/>
      <x:c r="Q23" s="11"/>
    </x:row>
    <x:row r="24">
      <x:c r="A24" s="11" t="str">
        <x:v>5</x:v>
      </x:c>
      <x:c r="B24" s="11" t="str">
        <x:v>OpenAI es el único proveedor externo de IA del MVP; no se utiliza Gemini.</x:v>
      </x:c>
      <x:c r="C24" s="11" t="str"/>
      <x:c r="D24" s="11" t="str"/>
      <x:c r="E24" s="11" t="str"/>
      <x:c r="F24" s="11" t="str"/>
      <x:c r="G24" s="11" t="str"/>
      <x:c r="H24" s="11" t="str"/>
      <x:c r="I24" s="11"/>
      <x:c r="J24" s="11"/>
      <x:c r="K24" s="11"/>
      <x:c r="L24" s="11"/>
      <x:c r="M24" s="11"/>
      <x:c r="N24" s="11"/>
      <x:c r="O24" s="11"/>
      <x:c r="P24" s="11"/>
      <x:c r="Q24" s="11"/>
    </x:row>
    <x:row r="25">
      <x:c r="A25" s="11" t="str">
        <x:v>6</x:v>
      </x:c>
      <x:c r="B25" s="11" t="str">
        <x:v>La demo debe funcionar con datos cacheados y seed aun sin conexión a APIs externas.</x:v>
      </x:c>
      <x:c r="C25" s="11" t="str"/>
      <x:c r="D25" s="11" t="str"/>
      <x:c r="E25" s="11" t="str"/>
      <x:c r="F25" s="11" t="str"/>
      <x:c r="G25" s="11" t="str"/>
      <x:c r="H25" s="11" t="str"/>
      <x:c r="I25" s="11"/>
      <x:c r="J25" s="11"/>
      <x:c r="K25" s="11"/>
      <x:c r="L25" s="11"/>
      <x:c r="M25" s="11"/>
      <x:c r="N25" s="11"/>
      <x:c r="O25" s="11"/>
      <x:c r="P25" s="11"/>
      <x:c r="Q25" s="11"/>
    </x:row>
  </x:sheetData>
  <x:mergeCells>
    <x:mergeCell ref="A1:H2"/>
    <x:mergeCell ref="A4:B4"/>
    <x:mergeCell ref="D4:H4"/>
    <x:mergeCell ref="A12:H12"/>
    <x:mergeCell ref="A19:H19"/>
  </x:mergeCells>
  <x:pageMargins left="0.7" right="0.7" top="0.75" bottom="0.75" header="0.3" footer="0.3"/>
  <x:drawing xmlns:r="http://schemas.openxmlformats.org/officeDocument/2006/relationships" r:id="R3a9398ef9dea4386"/>
</x:worksheet>
</file>

<file path=xl/worksheets/sheet2.xml><?xml version="1.0" encoding="utf-8"?>
<x:worksheet xmlns:x="http://schemas.openxmlformats.org/spreadsheetml/2006/main">
  <x:sheetFormatPr defaultRowHeight="15"/>
  <x:cols>
    <x:col min="1" max="1" width="10" hidden="0" customWidth="1"/>
    <x:col min="2" max="2" width="12" hidden="0" customWidth="1"/>
    <x:col min="3" max="3" width="20" hidden="0" customWidth="1"/>
    <x:col min="4" max="4" width="42" hidden="0" customWidth="1"/>
    <x:col min="5" max="5" width="12" hidden="0" customWidth="1"/>
    <x:col min="6" max="6" width="12" hidden="0" customWidth="1"/>
    <x:col min="7" max="7" width="12" hidden="0" customWidth="1"/>
    <x:col min="8" max="8" width="14" hidden="0" customWidth="1"/>
    <x:col min="9" max="9" width="9" hidden="0" customWidth="1"/>
    <x:col min="10" max="10" width="24" hidden="0" customWidth="1"/>
    <x:col min="11" max="11" width="42" hidden="0" customWidth="1"/>
    <x:col min="12" max="12" width="18" hidden="0" customWidth="1"/>
  </x:cols>
  <x:sheetData>
    <x:row r="1">
      <x:c r="A1" s="10" t="str">
        <x:v>ID</x:v>
      </x:c>
      <x:c r="B1" s="10" t="str">
        <x:v>Sprint</x:v>
      </x:c>
      <x:c r="C1" s="10" t="str">
        <x:v>Épica</x:v>
      </x:c>
      <x:c r="D1" s="10" t="str">
        <x:v>Tarea exacta</x:v>
      </x:c>
      <x:c r="E1" s="10" t="str">
        <x:v>Responsable</x:v>
      </x:c>
      <x:c r="F1" s="10" t="str">
        <x:v>Apoyo</x:v>
      </x:c>
      <x:c r="G1" s="10" t="str">
        <x:v>Prioridad</x:v>
      </x:c>
      <x:c r="H1" s="10" t="str">
        <x:v>Estado</x:v>
      </x:c>
      <x:c r="I1" s="10" t="str">
        <x:v>Horas</x:v>
      </x:c>
      <x:c r="J1" s="10" t="str">
        <x:v>Dependencias</x:v>
      </x:c>
      <x:c r="K1" s="10" t="str">
        <x:v>Criterio de aceptación</x:v>
      </x:c>
      <x:c r="L1" s="10" t="str">
        <x:v>Entregable</x:v>
      </x:c>
      <x:c r="N1" s="27" t="str">
        <x:v>Nota de estimación</x:v>
      </x:c>
      <x:c r="O1" s="27"/>
      <x:c r="P1" s="27"/>
      <x:c r="Q1" s="27"/>
    </x:row>
    <x:row r="2">
      <x:c r="A2" s="11" t="str">
        <x:v>S0-01</x:v>
      </x:c>
      <x:c r="B2" s="11" t="str">
        <x:v>Sprint 0</x:v>
      </x:c>
      <x:c r="C2" s="11" t="str">
        <x:v>Fundación</x:v>
      </x:c>
      <x:c r="D2" s="11" t="str">
        <x:v>Crear repositorio, reglas de ramas y plantilla de PR</x:v>
      </x:c>
      <x:c r="E2" s="11" t="str">
        <x:v>R</x:v>
      </x:c>
      <x:c r="F2" s="11" t="str">
        <x:v>D</x:v>
      </x:c>
      <x:c r="G2" s="11" t="str">
        <x:v>Crítica</x:v>
      </x:c>
      <x:c r="H2" s="11" t="str">
        <x:v>No iniciada</x:v>
      </x:c>
      <x:c r="I2" s="14" t="n">
        <x:v>2</x:v>
      </x:c>
      <x:c r="J2" s="11" t="str"/>
      <x:c r="K2" s="11" t="str">
        <x:v>Repositorio listo, main protegida y plantilla de PR activa</x:v>
      </x:c>
      <x:c r="L2" s="11" t="str">
        <x:v>GitHub</x:v>
      </x:c>
      <x:c r="N2" s="11" t="str">
        <x:v>Las horas representan trabajo efectivo por responsable dentro de una hackathon de 36 h. No incluyen esperas, reuniones ni apoyo secundario. El total se mantiene dentro de la capacidad del equipo.</x:v>
      </x:c>
      <x:c r="O2" s="11"/>
      <x:c r="P2" s="11"/>
      <x:c r="Q2" s="11"/>
    </x:row>
    <x:row r="3">
      <x:c r="A3" s="11" t="str">
        <x:v>S0-02</x:v>
      </x:c>
      <x:c r="B3" s="11" t="str">
        <x:v>Sprint 0</x:v>
      </x:c>
      <x:c r="C3" s="11" t="str">
        <x:v>Fundación</x:v>
      </x:c>
      <x:c r="D3" s="11" t="str">
        <x:v>Crear proyecto Supabase y registrar variables en un gestor compartido</x:v>
      </x:c>
      <x:c r="E3" s="11" t="str">
        <x:v>R</x:v>
      </x:c>
      <x:c r="F3" s="11" t="str">
        <x:v>P</x:v>
      </x:c>
      <x:c r="G3" s="11" t="str">
        <x:v>Crítica</x:v>
      </x:c>
      <x:c r="H3" s="11" t="str">
        <x:v>No iniciada</x:v>
      </x:c>
      <x:c r="I3" s="14" t="n">
        <x:v>1</x:v>
      </x:c>
      <x:c r="J3" s="11" t="str">
        <x:v>S0-01</x:v>
      </x:c>
      <x:c r="K3" s="11" t="str">
        <x:v>Proyecto accesible; URL y claves separadas por entorno</x:v>
      </x:c>
      <x:c r="L3" s="11" t="str">
        <x:v>Supabase</x:v>
      </x:c>
      <x:c r="N3" s="11"/>
      <x:c r="O3" s="11"/>
      <x:c r="P3" s="11"/>
      <x:c r="Q3" s="11"/>
    </x:row>
    <x:row r="4">
      <x:c r="A4" s="11" t="str">
        <x:v>S0-03</x:v>
      </x:c>
      <x:c r="B4" s="11" t="str">
        <x:v>Sprint 0</x:v>
      </x:c>
      <x:c r="C4" s="11" t="str">
        <x:v>Base de datos</x:v>
      </x:c>
      <x:c r="D4" s="11" t="str">
        <x:v>Auditar los scripts normalizados existentes y listar errores bloqueantes</x:v>
      </x:c>
      <x:c r="E4" s="11" t="str">
        <x:v>R</x:v>
      </x:c>
      <x:c r="F4" s="11" t="str">
        <x:v>M</x:v>
      </x:c>
      <x:c r="G4" s="11" t="str">
        <x:v>Crítica</x:v>
      </x:c>
      <x:c r="H4" s="11" t="str">
        <x:v>No iniciada</x:v>
      </x:c>
      <x:c r="I4" s="14" t="n">
        <x:v>2</x:v>
      </x:c>
      <x:c r="J4" s="11" t="str">
        <x:v>S0-02</x:v>
      </x:c>
      <x:c r="K4" s="11" t="str">
        <x:v>Lista priorizada de correcciones con impacto y archivo afectado</x:v>
      </x:c>
      <x:c r="L4" s="11" t="str">
        <x:v>DB audit</x:v>
      </x:c>
      <x:c r="N4" s="11"/>
      <x:c r="O4" s="11"/>
      <x:c r="P4" s="11"/>
      <x:c r="Q4" s="11"/>
    </x:row>
    <x:row r="5">
      <x:c r="A5" s="11" t="str">
        <x:v>S0-04</x:v>
      </x:c>
      <x:c r="B5" s="11" t="str">
        <x:v>Sprint 0</x:v>
      </x:c>
      <x:c r="C5" s="11" t="str">
        <x:v>Diseño</x:v>
      </x:c>
      <x:c r="D5" s="11" t="str">
        <x:v>Crear design tokens: color, tipografía, espaciado, radios e iconografía</x:v>
      </x:c>
      <x:c r="E5" s="11" t="str">
        <x:v>D</x:v>
      </x:c>
      <x:c r="F5" s="11" t="str">
        <x:v>R</x:v>
      </x:c>
      <x:c r="G5" s="11" t="str">
        <x:v>Alta</x:v>
      </x:c>
      <x:c r="H5" s="11" t="str">
        <x:v>No iniciada</x:v>
      </x:c>
      <x:c r="I5" s="14" t="n">
        <x:v>2</x:v>
      </x:c>
      <x:c r="J5" s="11" t="str"/>
      <x:c r="K5" s="11" t="str">
        <x:v>Página Design System en Figma</x:v>
      </x:c>
      <x:c r="L5" s="11" t="str">
        <x:v>Figma</x:v>
      </x:c>
    </x:row>
    <x:row r="6">
      <x:c r="A6" s="11" t="str">
        <x:v>S0-05</x:v>
      </x:c>
      <x:c r="B6" s="11" t="str">
        <x:v>Sprint 0</x:v>
      </x:c>
      <x:c r="C6" s="11" t="str">
        <x:v>Diseño</x:v>
      </x:c>
      <x:c r="D6" s="11" t="str">
        <x:v>Construir logo SVG programático y variantes de marca</x:v>
      </x:c>
      <x:c r="E6" s="11" t="str">
        <x:v>D</x:v>
      </x:c>
      <x:c r="F6" s="11" t="str">
        <x:v>P</x:v>
      </x:c>
      <x:c r="G6" s="11" t="str">
        <x:v>Alta</x:v>
      </x:c>
      <x:c r="H6" s="11" t="str">
        <x:v>No iniciada</x:v>
      </x:c>
      <x:c r="I6" s="14" t="n">
        <x:v>1</x:v>
      </x:c>
      <x:c r="J6" s="11" t="str">
        <x:v>S0-04</x:v>
      </x:c>
      <x:c r="K6" s="11" t="str">
        <x:v>Logo principal, monocromo, blanco y favicon editables</x:v>
      </x:c>
      <x:c r="L6" s="11" t="str">
        <x:v>Brand</x:v>
      </x:c>
    </x:row>
    <x:row r="7">
      <x:c r="A7" s="11" t="str">
        <x:v>S0-06</x:v>
      </x:c>
      <x:c r="B7" s="11" t="str">
        <x:v>Sprint 0</x:v>
      </x:c>
      <x:c r="C7" s="11" t="str">
        <x:v>Producto</x:v>
      </x:c>
      <x:c r="D7" s="11" t="str">
        <x:v>Cerrar reglas de marketplace, publicaciones y estados</x:v>
      </x:c>
      <x:c r="E7" s="11" t="str">
        <x:v>M</x:v>
      </x:c>
      <x:c r="F7" s="11" t="str">
        <x:v>R</x:v>
      </x:c>
      <x:c r="G7" s="11" t="str">
        <x:v>Crítica</x:v>
      </x:c>
      <x:c r="H7" s="11" t="str">
        <x:v>No iniciada</x:v>
      </x:c>
      <x:c r="I7" s="14" t="n">
        <x:v>1</x:v>
      </x:c>
      <x:c r="J7" s="11" t="str"/>
      <x:c r="K7" s="11" t="str">
        <x:v>Documento con estados y transiciones aprobado por equipo</x:v>
      </x:c>
      <x:c r="L7" s="11" t="str">
        <x:v>Product rules</x:v>
      </x:c>
    </x:row>
    <x:row r="8">
      <x:c r="A8" s="11" t="str">
        <x:v>S0-07</x:v>
      </x:c>
      <x:c r="B8" s="11" t="str">
        <x:v>Sprint 0</x:v>
      </x:c>
      <x:c r="C8" s="11" t="str">
        <x:v>Negociación</x:v>
      </x:c>
      <x:c r="D8" s="11" t="str">
        <x:v>Cerrar reglas exactas de negociación rápida y conversacional</x:v>
      </x:c>
      <x:c r="E8" s="11" t="str">
        <x:v>M</x:v>
      </x:c>
      <x:c r="F8" s="11" t="str">
        <x:v>R</x:v>
      </x:c>
      <x:c r="G8" s="11" t="str">
        <x:v>Crítica</x:v>
      </x:c>
      <x:c r="H8" s="11" t="str">
        <x:v>No iniciada</x:v>
      </x:c>
      <x:c r="I8" s="14" t="n">
        <x:v>2</x:v>
      </x:c>
      <x:c r="J8" s="11" t="str">
        <x:v>S0-06</x:v>
      </x:c>
      <x:c r="K8" s="11" t="str">
        <x:v>Casos límite, expiraciones e intentos definidos</x:v>
      </x:c>
      <x:c r="L8" s="11" t="str">
        <x:v>Negotiation spec</x:v>
      </x:c>
    </x:row>
    <x:row r="9">
      <x:c r="A9" s="11" t="str">
        <x:v>S0-08</x:v>
      </x:c>
      <x:c r="B9" s="11" t="str">
        <x:v>Sprint 0</x:v>
      </x:c>
      <x:c r="C9" s="11" t="str">
        <x:v>Logística</x:v>
      </x:c>
      <x:c r="D9" s="11" t="str">
        <x:v>Definir catálogo de vehículos, modalidades y estados del envío</x:v>
      </x:c>
      <x:c r="E9" s="11" t="str">
        <x:v>P</x:v>
      </x:c>
      <x:c r="F9" s="11" t="str">
        <x:v>M</x:v>
      </x:c>
      <x:c r="G9" s="11" t="str">
        <x:v>Alta</x:v>
      </x:c>
      <x:c r="H9" s="11" t="str">
        <x:v>No iniciada</x:v>
      </x:c>
      <x:c r="I9" s="14" t="n">
        <x:v>1</x:v>
      </x:c>
      <x:c r="J9" s="11" t="str"/>
      <x:c r="K9" s="11" t="str">
        <x:v>Catálogo y máquina de estados aprobados</x:v>
      </x:c>
      <x:c r="L9" s="11" t="str">
        <x:v>Logistics spec</x:v>
      </x:c>
    </x:row>
    <x:row r="10">
      <x:c r="A10" s="11" t="str">
        <x:v>S0-09</x:v>
      </x:c>
      <x:c r="B10" s="11" t="str">
        <x:v>Sprint 0</x:v>
      </x:c>
      <x:c r="C10" s="11" t="str">
        <x:v>IA/Riesgo</x:v>
      </x:c>
      <x:c r="D10" s="11" t="str">
        <x:v>Definir esquema JSON de eventos y fórmula inicial de riesgo</x:v>
      </x:c>
      <x:c r="E10" s="11" t="str">
        <x:v>P</x:v>
      </x:c>
      <x:c r="F10" s="11" t="str">
        <x:v>R</x:v>
      </x:c>
      <x:c r="G10" s="11" t="str">
        <x:v>Crítica</x:v>
      </x:c>
      <x:c r="H10" s="11" t="str">
        <x:v>No iniciada</x:v>
      </x:c>
      <x:c r="I10" s="14" t="n">
        <x:v>2</x:v>
      </x:c>
      <x:c r="J10" s="11" t="str"/>
      <x:c r="K10" s="11" t="str">
        <x:v>Schema Zod y fórmula documentados; sin Gemini</x:v>
      </x:c>
      <x:c r="L10" s="11" t="str">
        <x:v>Risk spec</x:v>
      </x:c>
    </x:row>
    <x:row r="11">
      <x:c r="A11" s="11" t="str">
        <x:v>S0-10</x:v>
      </x:c>
      <x:c r="B11" s="11" t="str">
        <x:v>Sprint 0</x:v>
      </x:c>
      <x:c r="C11" s="11" t="str">
        <x:v>Proyecto</x:v>
      </x:c>
      <x:c r="D11" s="11" t="str">
        <x:v>Crear proyecto Next.js, Tailwind, shadcn y deploy vacío en Vercel</x:v>
      </x:c>
      <x:c r="E11" s="11" t="str">
        <x:v>R</x:v>
      </x:c>
      <x:c r="F11" s="11" t="str">
        <x:v>D</x:v>
      </x:c>
      <x:c r="G11" s="11" t="str">
        <x:v>Crítica</x:v>
      </x:c>
      <x:c r="H11" s="11" t="str">
        <x:v>No iniciada</x:v>
      </x:c>
      <x:c r="I11" s="14" t="n">
        <x:v>2</x:v>
      </x:c>
      <x:c r="J11" s="11" t="str">
        <x:v>S0-01</x:v>
      </x:c>
      <x:c r="K11" s="11" t="str">
        <x:v>URL pública desplegada sin errores</x:v>
      </x:c>
      <x:c r="L11" s="11" t="str">
        <x:v>App shell</x:v>
      </x:c>
    </x:row>
    <x:row r="12">
      <x:c r="A12" s="11" t="str">
        <x:v>S0-11</x:v>
      </x:c>
      <x:c r="B12" s="11" t="str">
        <x:v>Sprint 0</x:v>
      </x:c>
      <x:c r="C12" s="11" t="str">
        <x:v>Datos</x:v>
      </x:c>
      <x:c r="D12" s="11" t="str">
        <x:v>Preparar escenarios de demo y usuarios semilla</x:v>
      </x:c>
      <x:c r="E12" s="11" t="str">
        <x:v>M</x:v>
      </x:c>
      <x:c r="F12" s="11" t="str">
        <x:v>P</x:v>
      </x:c>
      <x:c r="G12" s="11" t="str">
        <x:v>Alta</x:v>
      </x:c>
      <x:c r="H12" s="11" t="str">
        <x:v>No iniciada</x:v>
      </x:c>
      <x:c r="I12" s="14" t="n">
        <x:v>1</x:v>
      </x:c>
      <x:c r="J12" s="11" t="str">
        <x:v>S0-06</x:v>
      </x:c>
      <x:c r="K12" s="11" t="str">
        <x:v>3 productores, 2 compradores, 3 transportistas y 2 flujos</x:v>
      </x:c>
      <x:c r="L12" s="11" t="str">
        <x:v>Demo data plan</x:v>
      </x:c>
    </x:row>
    <x:row r="13">
      <x:c r="A13" s="11" t="str">
        <x:v>S0-12</x:v>
      </x:c>
      <x:c r="B13" s="11" t="str">
        <x:v>Sprint 0</x:v>
      </x:c>
      <x:c r="C13" s="11" t="str">
        <x:v>Coordinación</x:v>
      </x:c>
      <x:c r="D13" s="11" t="str">
        <x:v>Definir contratos TypeScript compartidos entre módulos</x:v>
      </x:c>
      <x:c r="E13" s="11" t="str">
        <x:v>R</x:v>
      </x:c>
      <x:c r="F13" s="11" t="str">
        <x:v>M</x:v>
      </x:c>
      <x:c r="G13" s="11" t="str">
        <x:v>Crítica</x:v>
      </x:c>
      <x:c r="H13" s="11" t="str">
        <x:v>No iniciada</x:v>
      </x:c>
      <x:c r="I13" s="14" t="n">
        <x:v>1</x:v>
      </x:c>
      <x:c r="J13" s="11" t="str">
        <x:v>S0-06,S0-08,S0-09</x:v>
      </x:c>
      <x:c r="K13" s="11" t="str">
        <x:v>Tipos base versionados y usados por todos</x:v>
      </x:c>
      <x:c r="L13" s="11" t="str">
        <x:v>Shared types</x:v>
      </x:c>
    </x:row>
    <x:row r="14">
      <x:c r="A14" s="11" t="str">
        <x:v>S1-01</x:v>
      </x:c>
      <x:c r="B14" s="11" t="str">
        <x:v>Sprint 1</x:v>
      </x:c>
      <x:c r="C14" s="11" t="str">
        <x:v>Base de datos</x:v>
      </x:c>
      <x:c r="D14" s="11" t="str">
        <x:v>Corregir modelo de actores, roles y organizaciones</x:v>
      </x:c>
      <x:c r="E14" s="11" t="str">
        <x:v>R</x:v>
      </x:c>
      <x:c r="F14" s="11" t="str">
        <x:v>M</x:v>
      </x:c>
      <x:c r="G14" s="11" t="str">
        <x:v>Crítica</x:v>
      </x:c>
      <x:c r="H14" s="11" t="str">
        <x:v>No iniciada</x:v>
      </x:c>
      <x:c r="I14" s="14" t="n">
        <x:v>2</x:v>
      </x:c>
      <x:c r="J14" s="11" t="str">
        <x:v>S0-03</x:v>
      </x:c>
      <x:c r="K14" s="11" t="str">
        <x:v>Migración ejecuta limpia y soporta múltiples roles</x:v>
      </x:c>
      <x:c r="L14" s="11" t="str">
        <x:v>Migration</x:v>
      </x:c>
    </x:row>
    <x:row r="15">
      <x:c r="A15" s="11" t="str">
        <x:v>S1-02</x:v>
      </x:c>
      <x:c r="B15" s="11" t="str">
        <x:v>Sprint 1</x:v>
      </x:c>
      <x:c r="C15" s="11" t="str">
        <x:v>Base de datos</x:v>
      </x:c>
      <x:c r="D15" s="11" t="str">
        <x:v>Corregir integridad de ofertas, requerimientos y atributos de calidad</x:v>
      </x:c>
      <x:c r="E15" s="11" t="str">
        <x:v>R</x:v>
      </x:c>
      <x:c r="F15" s="11" t="str">
        <x:v>M</x:v>
      </x:c>
      <x:c r="G15" s="11" t="str">
        <x:v>Crítica</x:v>
      </x:c>
      <x:c r="H15" s="11" t="str">
        <x:v>No iniciada</x:v>
      </x:c>
      <x:c r="I15" s="14" t="n">
        <x:v>2</x:v>
      </x:c>
      <x:c r="J15" s="11" t="str">
        <x:v>S1-01</x:v>
      </x:c>
      <x:c r="K15" s="11" t="str">
        <x:v>FK, checks e índices validados con datos semilla</x:v>
      </x:c>
      <x:c r="L15" s="11" t="str">
        <x:v>Migration</x:v>
      </x:c>
    </x:row>
    <x:row r="16">
      <x:c r="A16" s="11" t="str">
        <x:v>S1-03</x:v>
      </x:c>
      <x:c r="B16" s="11" t="str">
        <x:v>Sprint 1</x:v>
      </x:c>
      <x:c r="C16" s="11" t="str">
        <x:v>Seguridad</x:v>
      </x:c>
      <x:c r="D16" s="11" t="str">
        <x:v>Implementar RLS inicial para perfiles, actores y publicaciones</x:v>
      </x:c>
      <x:c r="E16" s="11" t="str">
        <x:v>R</x:v>
      </x:c>
      <x:c r="F16" s="11" t="str">
        <x:v>P</x:v>
      </x:c>
      <x:c r="G16" s="11" t="str">
        <x:v>Crítica</x:v>
      </x:c>
      <x:c r="H16" s="11" t="str">
        <x:v>No iniciada</x:v>
      </x:c>
      <x:c r="I16" s="14" t="n">
        <x:v>2</x:v>
      </x:c>
      <x:c r="J16" s="11" t="str">
        <x:v>S1-01</x:v>
      </x:c>
      <x:c r="K16" s="11" t="str">
        <x:v>Usuarios no pueden editar datos ajenos</x:v>
      </x:c>
      <x:c r="L16" s="11" t="str">
        <x:v>RLS</x:v>
      </x:c>
    </x:row>
    <x:row r="17">
      <x:c r="A17" s="11" t="str">
        <x:v>S1-04</x:v>
      </x:c>
      <x:c r="B17" s="11" t="str">
        <x:v>Sprint 1</x:v>
      </x:c>
      <x:c r="C17" s="11" t="str">
        <x:v>Frontend</x:v>
      </x:c>
      <x:c r="D17" s="11" t="str">
        <x:v>Implementar layout responsive, navegación por rol y shell de dashboard</x:v>
      </x:c>
      <x:c r="E17" s="11" t="str">
        <x:v>D</x:v>
      </x:c>
      <x:c r="F17" s="11" t="str">
        <x:v>R</x:v>
      </x:c>
      <x:c r="G17" s="11" t="str">
        <x:v>Crítica</x:v>
      </x:c>
      <x:c r="H17" s="11" t="str">
        <x:v>No iniciada</x:v>
      </x:c>
      <x:c r="I17" s="14" t="n">
        <x:v>2</x:v>
      </x:c>
      <x:c r="J17" s="11" t="str">
        <x:v>S0-04,S0-10</x:v>
      </x:c>
      <x:c r="K17" s="11" t="str">
        <x:v>Desktop y móvil con navegación funcional</x:v>
      </x:c>
      <x:c r="L17" s="11" t="str">
        <x:v>Frontend</x:v>
      </x:c>
    </x:row>
    <x:row r="18">
      <x:c r="A18" s="11" t="str">
        <x:v>S1-05</x:v>
      </x:c>
      <x:c r="B18" s="11" t="str">
        <x:v>Sprint 1</x:v>
      </x:c>
      <x:c r="C18" s="11" t="str">
        <x:v>Frontend</x:v>
      </x:c>
      <x:c r="D18" s="11" t="str">
        <x:v>Implementar login, registro y selección de rol</x:v>
      </x:c>
      <x:c r="E18" s="11" t="str">
        <x:v>D</x:v>
      </x:c>
      <x:c r="F18" s="11" t="str">
        <x:v>R</x:v>
      </x:c>
      <x:c r="G18" s="11" t="str">
        <x:v>Alta</x:v>
      </x:c>
      <x:c r="H18" s="11" t="str">
        <x:v>No iniciada</x:v>
      </x:c>
      <x:c r="I18" s="14" t="n">
        <x:v>2</x:v>
      </x:c>
      <x:c r="J18" s="11" t="str">
        <x:v>S1-04</x:v>
      </x:c>
      <x:c r="K18" s="11" t="str">
        <x:v>Flujo conectado con Supabase Auth</x:v>
      </x:c>
      <x:c r="L18" s="11" t="str">
        <x:v>Frontend</x:v>
      </x:c>
    </x:row>
    <x:row r="19">
      <x:c r="A19" s="11" t="str">
        <x:v>S1-06</x:v>
      </x:c>
      <x:c r="B19" s="11" t="str">
        <x:v>Sprint 1</x:v>
      </x:c>
      <x:c r="C19" s="11" t="str">
        <x:v>Frontend</x:v>
      </x:c>
      <x:c r="D19" s="11" t="str">
        <x:v>Implementar onboarding de productor, comprador y transportista</x:v>
      </x:c>
      <x:c r="E19" s="11" t="str">
        <x:v>D</x:v>
      </x:c>
      <x:c r="F19" s="11" t="str">
        <x:v>M</x:v>
      </x:c>
      <x:c r="G19" s="11" t="str">
        <x:v>Alta</x:v>
      </x:c>
      <x:c r="H19" s="11" t="str">
        <x:v>No iniciada</x:v>
      </x:c>
      <x:c r="I19" s="14" t="n">
        <x:v>2</x:v>
      </x:c>
      <x:c r="J19" s="11" t="str">
        <x:v>S1-05</x:v>
      </x:c>
      <x:c r="K19" s="11" t="str">
        <x:v>Los tres perfiles pueden completar onboarding</x:v>
      </x:c>
      <x:c r="L19" s="11" t="str">
        <x:v>Frontend</x:v>
      </x:c>
    </x:row>
    <x:row r="20">
      <x:c r="A20" s="11" t="str">
        <x:v>S1-07</x:v>
      </x:c>
      <x:c r="B20" s="11" t="str">
        <x:v>Sprint 1</x:v>
      </x:c>
      <x:c r="C20" s="11" t="str">
        <x:v>Marketplace</x:v>
      </x:c>
      <x:c r="D20" s="11" t="str">
        <x:v>Crear servicios CRUD de productos y requerimientos</x:v>
      </x:c>
      <x:c r="E20" s="11" t="str">
        <x:v>M</x:v>
      </x:c>
      <x:c r="F20" s="11" t="str">
        <x:v>R</x:v>
      </x:c>
      <x:c r="G20" s="11" t="str">
        <x:v>Crítica</x:v>
      </x:c>
      <x:c r="H20" s="11" t="str">
        <x:v>No iniciada</x:v>
      </x:c>
      <x:c r="I20" s="14" t="n">
        <x:v>2</x:v>
      </x:c>
      <x:c r="J20" s="11" t="str">
        <x:v>S1-02,S0-12</x:v>
      </x:c>
      <x:c r="K20" s="11" t="str">
        <x:v>Crear, leer, actualizar y pausar publicaciones</x:v>
      </x:c>
      <x:c r="L20" s="11" t="str">
        <x:v>API</x:v>
      </x:c>
    </x:row>
    <x:row r="21">
      <x:c r="A21" s="11" t="str">
        <x:v>S1-08</x:v>
      </x:c>
      <x:c r="B21" s="11" t="str">
        <x:v>Sprint 1</x:v>
      </x:c>
      <x:c r="C21" s="11" t="str">
        <x:v>Marketplace</x:v>
      </x:c>
      <x:c r="D21" s="11" t="str">
        <x:v>Crear formularios stepper para publicar producto y requerimiento</x:v>
      </x:c>
      <x:c r="E21" s="11" t="str">
        <x:v>M</x:v>
      </x:c>
      <x:c r="F21" s="11" t="str">
        <x:v>D</x:v>
      </x:c>
      <x:c r="G21" s="11" t="str">
        <x:v>Crítica</x:v>
      </x:c>
      <x:c r="H21" s="11" t="str">
        <x:v>No iniciada</x:v>
      </x:c>
      <x:c r="I21" s="14" t="n">
        <x:v>2</x:v>
      </x:c>
      <x:c r="J21" s="11" t="str">
        <x:v>S1-07,S1-04</x:v>
      </x:c>
      <x:c r="K21" s="11" t="str">
        <x:v>Formularios validan y persisten datos</x:v>
      </x:c>
      <x:c r="L21" s="11" t="str">
        <x:v>Feature</x:v>
      </x:c>
    </x:row>
    <x:row r="22">
      <x:c r="A22" s="11" t="str">
        <x:v>S1-09</x:v>
      </x:c>
      <x:c r="B22" s="11" t="str">
        <x:v>Sprint 1</x:v>
      </x:c>
      <x:c r="C22" s="11" t="str">
        <x:v>Marketplace</x:v>
      </x:c>
      <x:c r="D22" s="11" t="str">
        <x:v>Construir listado, filtros y búsqueda del marketplace</x:v>
      </x:c>
      <x:c r="E22" s="11" t="str">
        <x:v>D</x:v>
      </x:c>
      <x:c r="F22" s="11" t="str">
        <x:v>M</x:v>
      </x:c>
      <x:c r="G22" s="11" t="str">
        <x:v>Crítica</x:v>
      </x:c>
      <x:c r="H22" s="11" t="str">
        <x:v>No iniciada</x:v>
      </x:c>
      <x:c r="I22" s="14" t="n">
        <x:v>2</x:v>
      </x:c>
      <x:c r="J22" s="11" t="str">
        <x:v>S1-07,S1-04</x:v>
      </x:c>
      <x:c r="K22" s="11" t="str">
        <x:v>Listado usa datos reales de Supabase</x:v>
      </x:c>
      <x:c r="L22" s="11" t="str">
        <x:v>Frontend</x:v>
      </x:c>
    </x:row>
    <x:row r="23">
      <x:c r="A23" s="11" t="str">
        <x:v>S1-10</x:v>
      </x:c>
      <x:c r="B23" s="11" t="str">
        <x:v>Sprint 1</x:v>
      </x:c>
      <x:c r="C23" s="11" t="str">
        <x:v>Marketplace</x:v>
      </x:c>
      <x:c r="D23" s="11" t="str">
        <x:v>Construir detalle de producto y detalle de requerimiento</x:v>
      </x:c>
      <x:c r="E23" s="11" t="str">
        <x:v>D</x:v>
      </x:c>
      <x:c r="F23" s="11" t="str">
        <x:v>M</x:v>
      </x:c>
      <x:c r="G23" s="11" t="str">
        <x:v>Crítica</x:v>
      </x:c>
      <x:c r="H23" s="11" t="str">
        <x:v>No iniciada</x:v>
      </x:c>
      <x:c r="I23" s="14" t="n">
        <x:v>2</x:v>
      </x:c>
      <x:c r="J23" s="11" t="str">
        <x:v>S1-09</x:v>
      </x:c>
      <x:c r="K23" s="11" t="str">
        <x:v>Ambos detalles tienen CTA según rol</x:v>
      </x:c>
      <x:c r="L23" s="11" t="str">
        <x:v>Frontend</x:v>
      </x:c>
    </x:row>
    <x:row r="24">
      <x:c r="A24" s="11" t="str">
        <x:v>S1-11</x:v>
      </x:c>
      <x:c r="B24" s="11" t="str">
        <x:v>Sprint 1</x:v>
      </x:c>
      <x:c r="C24" s="11" t="str">
        <x:v>Logística</x:v>
      </x:c>
      <x:c r="D24" s="11" t="str">
        <x:v>Corregir tablas de vehículos, documentos y propietarios</x:v>
      </x:c>
      <x:c r="E24" s="11" t="str">
        <x:v>P</x:v>
      </x:c>
      <x:c r="F24" s="11" t="str">
        <x:v>R</x:v>
      </x:c>
      <x:c r="G24" s="11" t="str">
        <x:v>Alta</x:v>
      </x:c>
      <x:c r="H24" s="11" t="str">
        <x:v>No iniciada</x:v>
      </x:c>
      <x:c r="I24" s="14" t="n">
        <x:v>2</x:v>
      </x:c>
      <x:c r="J24" s="11" t="str">
        <x:v>S0-03,S0-08</x:v>
      </x:c>
      <x:c r="K24" s="11" t="str">
        <x:v>Modelo soporta independientes y empresas</x:v>
      </x:c>
      <x:c r="L24" s="11" t="str">
        <x:v>Migration</x:v>
      </x:c>
    </x:row>
    <x:row r="25">
      <x:c r="A25" s="11" t="str">
        <x:v>S1-12</x:v>
      </x:c>
      <x:c r="B25" s="11" t="str">
        <x:v>Sprint 1</x:v>
      </x:c>
      <x:c r="C25" s="11" t="str">
        <x:v>Logística</x:v>
      </x:c>
      <x:c r="D25" s="11" t="str">
        <x:v>Implementar CRUD de vehículos y perfil de transportista</x:v>
      </x:c>
      <x:c r="E25" s="11" t="str">
        <x:v>P</x:v>
      </x:c>
      <x:c r="F25" s="11" t="str">
        <x:v>D</x:v>
      </x:c>
      <x:c r="G25" s="11" t="str">
        <x:v>Alta</x:v>
      </x:c>
      <x:c r="H25" s="11" t="str">
        <x:v>No iniciada</x:v>
      </x:c>
      <x:c r="I25" s="14" t="n">
        <x:v>2</x:v>
      </x:c>
      <x:c r="J25" s="11" t="str">
        <x:v>S1-11,S1-06</x:v>
      </x:c>
      <x:c r="K25" s="11" t="str">
        <x:v>Vehículo creado, editado y visible</x:v>
      </x:c>
      <x:c r="L25" s="11" t="str">
        <x:v>Feature</x:v>
      </x:c>
    </x:row>
    <x:row r="26">
      <x:c r="A26" s="11" t="str">
        <x:v>S1-13</x:v>
      </x:c>
      <x:c r="B26" s="11" t="str">
        <x:v>Sprint 1</x:v>
      </x:c>
      <x:c r="C26" s="11" t="str">
        <x:v>Mapas</x:v>
      </x:c>
      <x:c r="D26" s="11" t="str">
        <x:v>Configurar Mapbox y componente base de mapa</x:v>
      </x:c>
      <x:c r="E26" s="11" t="str">
        <x:v>P</x:v>
      </x:c>
      <x:c r="F26" s="11" t="str">
        <x:v>D</x:v>
      </x:c>
      <x:c r="G26" s="11" t="str">
        <x:v>Alta</x:v>
      </x:c>
      <x:c r="H26" s="11" t="str">
        <x:v>No iniciada</x:v>
      </x:c>
      <x:c r="I26" s="14" t="n">
        <x:v>2</x:v>
      </x:c>
      <x:c r="J26" s="11" t="str">
        <x:v>S0-10</x:v>
      </x:c>
      <x:c r="K26" s="11" t="str">
        <x:v>Mapa muestra puntos de demo y funciona en móvil</x:v>
      </x:c>
      <x:c r="L26" s="11" t="str">
        <x:v>Map</x:v>
      </x:c>
    </x:row>
    <x:row r="27">
      <x:c r="A27" s="11" t="str">
        <x:v>S1-14</x:v>
      </x:c>
      <x:c r="B27" s="11" t="str">
        <x:v>Sprint 1</x:v>
      </x:c>
      <x:c r="C27" s="11" t="str">
        <x:v>Datos</x:v>
      </x:c>
      <x:c r="D27" s="11" t="str">
        <x:v>Crear seed reproducible para catálogo, ubicaciones y usuarios demo</x:v>
      </x:c>
      <x:c r="E27" s="11" t="str">
        <x:v>M</x:v>
      </x:c>
      <x:c r="F27" s="11" t="str">
        <x:v>R</x:v>
      </x:c>
      <x:c r="G27" s="11" t="str">
        <x:v>Alta</x:v>
      </x:c>
      <x:c r="H27" s="11" t="str">
        <x:v>No iniciada</x:v>
      </x:c>
      <x:c r="I27" s="14" t="n">
        <x:v>2</x:v>
      </x:c>
      <x:c r="J27" s="11" t="str">
        <x:v>S1-02,S1-11,S0-11</x:v>
      </x:c>
      <x:c r="K27" s="11" t="str">
        <x:v>Seed recrea entorno completo sin pasos manuales</x:v>
      </x:c>
      <x:c r="L27" s="11" t="str">
        <x:v>Seed</x:v>
      </x:c>
    </x:row>
    <x:row r="28">
      <x:c r="A28" s="11" t="str">
        <x:v>S2-01</x:v>
      </x:c>
      <x:c r="B28" s="11" t="str">
        <x:v>Sprint 2</x:v>
      </x:c>
      <x:c r="C28" s="11" t="str">
        <x:v>Negociación rápida</x:v>
      </x:c>
      <x:c r="D28" s="11" t="str">
        <x:v>Corregir y probar RPC submit_quick_offer</x:v>
      </x:c>
      <x:c r="E28" s="11" t="str">
        <x:v>R</x:v>
      </x:c>
      <x:c r="F28" s="11" t="str">
        <x:v>M</x:v>
      </x:c>
      <x:c r="G28" s="11" t="str">
        <x:v>Crítica</x:v>
      </x:c>
      <x:c r="H28" s="11" t="str">
        <x:v>No iniciada</x:v>
      </x:c>
      <x:c r="I28" s="14" t="n">
        <x:v>2</x:v>
      </x:c>
      <x:c r="J28" s="11" t="str">
        <x:v>S1-02,S0-07</x:v>
      </x:c>
      <x:c r="K28" s="11" t="str">
        <x:v>Mínimo privado no sale al cliente y reserva stock</x:v>
      </x:c>
      <x:c r="L28" s="11" t="str">
        <x:v>RPC</x:v>
      </x:c>
    </x:row>
    <x:row r="29">
      <x:c r="A29" s="11" t="str">
        <x:v>S2-02</x:v>
      </x:c>
      <x:c r="B29" s="11" t="str">
        <x:v>Sprint 2</x:v>
      </x:c>
      <x:c r="C29" s="11" t="str">
        <x:v>Negociación rápida</x:v>
      </x:c>
      <x:c r="D29" s="11" t="str">
        <x:v>Implementar límites de intentos y liberación de reservas expiradas</x:v>
      </x:c>
      <x:c r="E29" s="11" t="str">
        <x:v>R</x:v>
      </x:c>
      <x:c r="F29" s="11" t="str">
        <x:v>M</x:v>
      </x:c>
      <x:c r="G29" s="11" t="str">
        <x:v>Crítica</x:v>
      </x:c>
      <x:c r="H29" s="11" t="str">
        <x:v>No iniciada</x:v>
      </x:c>
      <x:c r="I29" s="14" t="n">
        <x:v>2</x:v>
      </x:c>
      <x:c r="J29" s="11" t="str">
        <x:v>S2-01</x:v>
      </x:c>
      <x:c r="K29" s="11" t="str">
        <x:v>Tres intentos; stock liberado automáticamente</x:v>
      </x:c>
      <x:c r="L29" s="11" t="str">
        <x:v>Backend</x:v>
      </x:c>
    </x:row>
    <x:row r="30">
      <x:c r="A30" s="11" t="str">
        <x:v>S2-03</x:v>
      </x:c>
      <x:c r="B30" s="11" t="str">
        <x:v>Sprint 2</x:v>
      </x:c>
      <x:c r="C30" s="11" t="str">
        <x:v>Negociación rápida</x:v>
      </x:c>
      <x:c r="D30" s="11" t="str">
        <x:v>Construir modal de oferta rápida y estados de respuesta</x:v>
      </x:c>
      <x:c r="E30" s="11" t="str">
        <x:v>M</x:v>
      </x:c>
      <x:c r="F30" s="11" t="str">
        <x:v>D</x:v>
      </x:c>
      <x:c r="G30" s="11" t="str">
        <x:v>Crítica</x:v>
      </x:c>
      <x:c r="H30" s="11" t="str">
        <x:v>No iniciada</x:v>
      </x:c>
      <x:c r="I30" s="14" t="n">
        <x:v>2</x:v>
      </x:c>
      <x:c r="J30" s="11" t="str">
        <x:v>S2-01,S1-10</x:v>
      </x:c>
      <x:c r="K30" s="11" t="str">
        <x:v>Aceptada, rechazada, sin stock y rate limit visibles</x:v>
      </x:c>
      <x:c r="L30" s="11" t="str">
        <x:v>Feature</x:v>
      </x:c>
    </x:row>
    <x:row r="31">
      <x:c r="A31" s="11" t="str">
        <x:v>S2-04</x:v>
      </x:c>
      <x:c r="B31" s="11" t="str">
        <x:v>Sprint 2</x:v>
      </x:c>
      <x:c r="C31" s="11" t="str">
        <x:v>Negociación conversacional</x:v>
      </x:c>
      <x:c r="D31" s="11" t="str">
        <x:v>Crear tablas/servicios de conversaciones, mensajes y propuestas</x:v>
      </x:c>
      <x:c r="E31" s="11" t="str">
        <x:v>M</x:v>
      </x:c>
      <x:c r="F31" s="11" t="str">
        <x:v>R</x:v>
      </x:c>
      <x:c r="G31" s="11" t="str">
        <x:v>Crítica</x:v>
      </x:c>
      <x:c r="H31" s="11" t="str">
        <x:v>No iniciada</x:v>
      </x:c>
      <x:c r="I31" s="14" t="n">
        <x:v>2</x:v>
      </x:c>
      <x:c r="J31" s="11" t="str">
        <x:v>S1-02,S0-07</x:v>
      </x:c>
      <x:c r="K31" s="11" t="str">
        <x:v>Mensajes y propuestas persisten con permisos correctos</x:v>
      </x:c>
      <x:c r="L31" s="11" t="str">
        <x:v>Backend</x:v>
      </x:c>
    </x:row>
    <x:row r="32">
      <x:c r="A32" s="11" t="str">
        <x:v>S2-05</x:v>
      </x:c>
      <x:c r="B32" s="11" t="str">
        <x:v>Sprint 2</x:v>
      </x:c>
      <x:c r="C32" s="11" t="str">
        <x:v>Negociación conversacional</x:v>
      </x:c>
      <x:c r="D32" s="11" t="str">
        <x:v>Implementar Realtime para chat</x:v>
      </x:c>
      <x:c r="E32" s="11" t="str">
        <x:v>M</x:v>
      </x:c>
      <x:c r="F32" s="11" t="str">
        <x:v>R</x:v>
      </x:c>
      <x:c r="G32" s="11" t="str">
        <x:v>Alta</x:v>
      </x:c>
      <x:c r="H32" s="11" t="str">
        <x:v>No iniciada</x:v>
      </x:c>
      <x:c r="I32" s="14" t="n">
        <x:v>2</x:v>
      </x:c>
      <x:c r="J32" s="11" t="str">
        <x:v>S2-04</x:v>
      </x:c>
      <x:c r="K32" s="11" t="str">
        <x:v>Dos sesiones ven mensajes sin recargar</x:v>
      </x:c>
      <x:c r="L32" s="11" t="str">
        <x:v>Realtime</x:v>
      </x:c>
    </x:row>
    <x:row r="33">
      <x:c r="A33" s="11" t="str">
        <x:v>S2-06</x:v>
      </x:c>
      <x:c r="B33" s="11" t="str">
        <x:v>Sprint 2</x:v>
      </x:c>
      <x:c r="C33" s="11" t="str">
        <x:v>Negociación conversacional</x:v>
      </x:c>
      <x:c r="D33" s="11" t="str">
        <x:v>Construir bandeja, chat y tarjeta de propuesta</x:v>
      </x:c>
      <x:c r="E33" s="11" t="str">
        <x:v>D</x:v>
      </x:c>
      <x:c r="F33" s="11" t="str">
        <x:v>M</x:v>
      </x:c>
      <x:c r="G33" s="11" t="str">
        <x:v>Crítica</x:v>
      </x:c>
      <x:c r="H33" s="11" t="str">
        <x:v>No iniciada</x:v>
      </x:c>
      <x:c r="I33" s="14" t="n">
        <x:v>3</x:v>
      </x:c>
      <x:c r="J33" s="11" t="str">
        <x:v>S2-04,S1-04</x:v>
      </x:c>
      <x:c r="K33" s="11" t="str">
        <x:v>UI desktop/móvil y propuesta aceptable</x:v>
      </x:c>
      <x:c r="L33" s="11" t="str">
        <x:v>Frontend</x:v>
      </x:c>
    </x:row>
    <x:row r="34">
      <x:c r="A34" s="11" t="str">
        <x:v>S2-07</x:v>
      </x:c>
      <x:c r="B34" s="11" t="str">
        <x:v>Sprint 2</x:v>
      </x:c>
      <x:c r="C34" s="11" t="str">
        <x:v>Órdenes</x:v>
      </x:c>
      <x:c r="D34" s="11" t="str">
        <x:v>Crear orden desde negociación rápida o propuesta aceptada</x:v>
      </x:c>
      <x:c r="E34" s="11" t="str">
        <x:v>M</x:v>
      </x:c>
      <x:c r="F34" s="11" t="str">
        <x:v>R</x:v>
      </x:c>
      <x:c r="G34" s="11" t="str">
        <x:v>Crítica</x:v>
      </x:c>
      <x:c r="H34" s="11" t="str">
        <x:v>No iniciada</x:v>
      </x:c>
      <x:c r="I34" s="14" t="n">
        <x:v>2</x:v>
      </x:c>
      <x:c r="J34" s="11" t="str">
        <x:v>S2-01,S2-04</x:v>
      </x:c>
      <x:c r="K34" s="11" t="str">
        <x:v>Ambos flujos crean misma estructura de orden</x:v>
      </x:c>
      <x:c r="L34" s="11" t="str">
        <x:v>Backend</x:v>
      </x:c>
    </x:row>
    <x:row r="35">
      <x:c r="A35" s="11" t="str">
        <x:v>S2-08</x:v>
      </x:c>
      <x:c r="B35" s="11" t="str">
        <x:v>Sprint 2</x:v>
      </x:c>
      <x:c r="C35" s="11" t="str">
        <x:v>Órdenes</x:v>
      </x:c>
      <x:c r="D35" s="11" t="str">
        <x:v>Implementar varios productores por requerimiento</x:v>
      </x:c>
      <x:c r="E35" s="11" t="str">
        <x:v>M</x:v>
      </x:c>
      <x:c r="F35" s="11" t="str">
        <x:v>R</x:v>
      </x:c>
      <x:c r="G35" s="11" t="str">
        <x:v>Alta</x:v>
      </x:c>
      <x:c r="H35" s="11" t="str">
        <x:v>No iniciada</x:v>
      </x:c>
      <x:c r="I35" s="14" t="n">
        <x:v>2</x:v>
      </x:c>
      <x:c r="J35" s="11" t="str">
        <x:v>S2-07</x:v>
      </x:c>
      <x:c r="K35" s="11" t="str">
        <x:v>Seleccionar propuestas hasta cubrir cantidad</x:v>
      </x:c>
      <x:c r="L35" s="11" t="str">
        <x:v>Feature</x:v>
      </x:c>
    </x:row>
    <x:row r="36">
      <x:c r="A36" s="11" t="str">
        <x:v>S2-09</x:v>
      </x:c>
      <x:c r="B36" s="11" t="str">
        <x:v>Sprint 2</x:v>
      </x:c>
      <x:c r="C36" s="11" t="str">
        <x:v>Órdenes</x:v>
      </x:c>
      <x:c r="D36" s="11" t="str">
        <x:v>Construir resumen y detalle de orden</x:v>
      </x:c>
      <x:c r="E36" s="11" t="str">
        <x:v>D</x:v>
      </x:c>
      <x:c r="F36" s="11" t="str">
        <x:v>M</x:v>
      </x:c>
      <x:c r="G36" s="11" t="str">
        <x:v>Alta</x:v>
      </x:c>
      <x:c r="H36" s="11" t="str">
        <x:v>No iniciada</x:v>
      </x:c>
      <x:c r="I36" s="14" t="n">
        <x:v>2</x:v>
      </x:c>
      <x:c r="J36" s="11" t="str">
        <x:v>S2-07</x:v>
      </x:c>
      <x:c r="K36" s="11" t="str">
        <x:v>Orden muestra participantes, cantidades y estado</x:v>
      </x:c>
      <x:c r="L36" s="11" t="str">
        <x:v>Frontend</x:v>
      </x:c>
    </x:row>
    <x:row r="37">
      <x:c r="A37" s="11" t="str">
        <x:v>S2-10</x:v>
      </x:c>
      <x:c r="B37" s="11" t="str">
        <x:v>Sprint 2</x:v>
      </x:c>
      <x:c r="C37" s="11" t="str">
        <x:v>Logística</x:v>
      </x:c>
      <x:c r="D37" s="11" t="str">
        <x:v>Corregir shipment_requests, stops, cargo items y bids</x:v>
      </x:c>
      <x:c r="E37" s="11" t="str">
        <x:v>P</x:v>
      </x:c>
      <x:c r="F37" s="11" t="str">
        <x:v>R</x:v>
      </x:c>
      <x:c r="G37" s="11" t="str">
        <x:v>Crítica</x:v>
      </x:c>
      <x:c r="H37" s="11" t="str">
        <x:v>No iniciada</x:v>
      </x:c>
      <x:c r="I37" s="14" t="n">
        <x:v>2</x:v>
      </x:c>
      <x:c r="J37" s="11" t="str">
        <x:v>S1-11,S1-02</x:v>
      </x:c>
      <x:c r="K37" s="11" t="str">
        <x:v>Múltiples recojos y un destino válidos</x:v>
      </x:c>
      <x:c r="L37" s="11" t="str">
        <x:v>Migration</x:v>
      </x:c>
    </x:row>
    <x:row r="38">
      <x:c r="A38" s="11" t="str">
        <x:v>S2-11</x:v>
      </x:c>
      <x:c r="B38" s="11" t="str">
        <x:v>Sprint 2</x:v>
      </x:c>
      <x:c r="C38" s="11" t="str">
        <x:v>Logística</x:v>
      </x:c>
      <x:c r="D38" s="11" t="str">
        <x:v>Crear solicitud de transporte desde una orden</x:v>
      </x:c>
      <x:c r="E38" s="11" t="str">
        <x:v>P</x:v>
      </x:c>
      <x:c r="F38" s="11" t="str">
        <x:v>M</x:v>
      </x:c>
      <x:c r="G38" s="11" t="str">
        <x:v>Crítica</x:v>
      </x:c>
      <x:c r="H38" s="11" t="str">
        <x:v>No iniciada</x:v>
      </x:c>
      <x:c r="I38" s="14" t="n">
        <x:v>2</x:v>
      </x:c>
      <x:c r="J38" s="11" t="str">
        <x:v>S2-10,S2-07</x:v>
      </x:c>
      <x:c r="K38" s="11" t="str">
        <x:v>Genera paradas y carga a partir de la orden</x:v>
      </x:c>
      <x:c r="L38" s="11" t="str">
        <x:v>Backend</x:v>
      </x:c>
    </x:row>
    <x:row r="39">
      <x:c r="A39" s="11" t="str">
        <x:v>S2-12</x:v>
      </x:c>
      <x:c r="B39" s="11" t="str">
        <x:v>Sprint 2</x:v>
      </x:c>
      <x:c r="C39" s="11" t="str">
        <x:v>Logística</x:v>
      </x:c>
      <x:c r="D39" s="11" t="str">
        <x:v>Implementar marketplace de cargas y detalle</x:v>
      </x:c>
      <x:c r="E39" s="11" t="str">
        <x:v>P</x:v>
      </x:c>
      <x:c r="F39" s="11" t="str">
        <x:v>D</x:v>
      </x:c>
      <x:c r="G39" s="11" t="str">
        <x:v>Crítica</x:v>
      </x:c>
      <x:c r="H39" s="11" t="str">
        <x:v>No iniciada</x:v>
      </x:c>
      <x:c r="I39" s="14" t="n">
        <x:v>2</x:v>
      </x:c>
      <x:c r="J39" s="11" t="str">
        <x:v>S2-11,S1-13</x:v>
      </x:c>
      <x:c r="K39" s="11" t="str">
        <x:v>Transportista explora cargas y abre detalle</x:v>
      </x:c>
      <x:c r="L39" s="11" t="str">
        <x:v>Feature</x:v>
      </x:c>
    </x:row>
    <x:row r="40">
      <x:c r="A40" s="11" t="str">
        <x:v>S2-13</x:v>
      </x:c>
      <x:c r="B40" s="11" t="str">
        <x:v>Sprint 2</x:v>
      </x:c>
      <x:c r="C40" s="11" t="str">
        <x:v>Logística</x:v>
      </x:c>
      <x:c r="D40" s="11" t="str">
        <x:v>Implementar oferta de flete y selección de transportista</x:v>
      </x:c>
      <x:c r="E40" s="11" t="str">
        <x:v>P</x:v>
      </x:c>
      <x:c r="F40" s="11" t="str">
        <x:v>M</x:v>
      </x:c>
      <x:c r="G40" s="11" t="str">
        <x:v>Crítica</x:v>
      </x:c>
      <x:c r="H40" s="11" t="str">
        <x:v>No iniciada</x:v>
      </x:c>
      <x:c r="I40" s="14" t="n">
        <x:v>2</x:v>
      </x:c>
      <x:c r="J40" s="11" t="str">
        <x:v>S2-12</x:v>
      </x:c>
      <x:c r="K40" s="11" t="str">
        <x:v>Solicitante compara y acepta una oferta</x:v>
      </x:c>
      <x:c r="L40" s="11" t="str">
        <x:v>Feature</x:v>
      </x:c>
    </x:row>
    <x:row r="41">
      <x:c r="A41" s="11" t="str">
        <x:v>S2-14</x:v>
      </x:c>
      <x:c r="B41" s="11" t="str">
        <x:v>Sprint 2</x:v>
      </x:c>
      <x:c r="C41" s="11" t="str">
        <x:v>Frontend</x:v>
      </x:c>
      <x:c r="D41" s="11" t="str">
        <x:v>Construir selector de modalidad logística y comparador de ofertas</x:v>
      </x:c>
      <x:c r="E41" s="11" t="str">
        <x:v>D</x:v>
      </x:c>
      <x:c r="F41" s="11" t="str">
        <x:v>P</x:v>
      </x:c>
      <x:c r="G41" s="11" t="str">
        <x:v>Alta</x:v>
      </x:c>
      <x:c r="H41" s="11" t="str">
        <x:v>No iniciada</x:v>
      </x:c>
      <x:c r="I41" s="14" t="n">
        <x:v>2</x:v>
      </x:c>
      <x:c r="J41" s="11" t="str">
        <x:v>S2-11,S2-13</x:v>
      </x:c>
      <x:c r="K41" s="11" t="str">
        <x:v>Tres modalidades y comparación legible</x:v>
      </x:c>
      <x:c r="L41" s="11" t="str">
        <x:v>Frontend</x:v>
      </x:c>
    </x:row>
    <x:row r="42">
      <x:c r="A42" s="11" t="str">
        <x:v>S3-01</x:v>
      </x:c>
      <x:c r="B42" s="11" t="str">
        <x:v>Sprint 3</x:v>
      </x:c>
      <x:c r="C42" s="11" t="str">
        <x:v>Precios</x:v>
      </x:c>
      <x:c r="D42" s="11" t="str">
        <x:v>Implementar algoritmo inicial de rango sugerido con datos históricos</x:v>
      </x:c>
      <x:c r="E42" s="11" t="str">
        <x:v>P</x:v>
      </x:c>
      <x:c r="F42" s="11" t="str">
        <x:v>M</x:v>
      </x:c>
      <x:c r="G42" s="11" t="str">
        <x:v>Crítica</x:v>
      </x:c>
      <x:c r="H42" s="11" t="str">
        <x:v>No iniciada</x:v>
      </x:c>
      <x:c r="I42" s="14" t="n">
        <x:v>2</x:v>
      </x:c>
      <x:c r="J42" s="11" t="str">
        <x:v>S1-14</x:v>
      </x:c>
      <x:c r="K42" s="11" t="str">
        <x:v>Devuelve bajo, medio, alto, confianza y explicación</x:v>
      </x:c>
      <x:c r="L42" s="11" t="str">
        <x:v>Service</x:v>
      </x:c>
    </x:row>
    <x:row r="43">
      <x:c r="A43" s="11" t="str">
        <x:v>S3-02</x:v>
      </x:c>
      <x:c r="B43" s="11" t="str">
        <x:v>Sprint 3</x:v>
      </x:c>
      <x:c r="C43" s="11" t="str">
        <x:v>Precios</x:v>
      </x:c>
      <x:c r="D43" s="11" t="str">
        <x:v>Integrar rango sugerido en ofertas, requerimientos y negociación</x:v>
      </x:c>
      <x:c r="E43" s="11" t="str">
        <x:v>M</x:v>
      </x:c>
      <x:c r="F43" s="11" t="str">
        <x:v>D</x:v>
      </x:c>
      <x:c r="G43" s="11" t="str">
        <x:v>Crítica</x:v>
      </x:c>
      <x:c r="H43" s="11" t="str">
        <x:v>No iniciada</x:v>
      </x:c>
      <x:c r="I43" s="14" t="n">
        <x:v>2</x:v>
      </x:c>
      <x:c r="J43" s="11" t="str">
        <x:v>S3-01,S2-03</x:v>
      </x:c>
      <x:c r="K43" s="11" t="str">
        <x:v>El precio sigue siendo editable y no obligatorio</x:v>
      </x:c>
      <x:c r="L43" s="11" t="str">
        <x:v>Feature</x:v>
      </x:c>
    </x:row>
    <x:row r="44">
      <x:c r="A44" s="11" t="str">
        <x:v>S3-03</x:v>
      </x:c>
      <x:c r="B44" s="11" t="str">
        <x:v>Sprint 3</x:v>
      </x:c>
      <x:c r="C44" s="11" t="str">
        <x:v>Riesgo</x:v>
      </x:c>
      <x:c r="D44" s="11" t="str">
        <x:v>Crear datos semilla y panel manual de eventos de riesgo</x:v>
      </x:c>
      <x:c r="E44" s="11" t="str">
        <x:v>P</x:v>
      </x:c>
      <x:c r="F44" s="11" t="str">
        <x:v>D</x:v>
      </x:c>
      <x:c r="G44" s="11" t="str">
        <x:v>Crítica</x:v>
      </x:c>
      <x:c r="H44" s="11" t="str">
        <x:v>No iniciada</x:v>
      </x:c>
      <x:c r="I44" s="14" t="n">
        <x:v>2</x:v>
      </x:c>
      <x:c r="J44" s="11" t="str">
        <x:v>S0-09,S1-14</x:v>
      </x:c>
      <x:c r="K44" s="11" t="str">
        <x:v>Admin crea, confirma y resuelve eventos</x:v>
      </x:c>
      <x:c r="L44" s="11" t="str">
        <x:v>Feature</x:v>
      </x:c>
    </x:row>
    <x:row r="45">
      <x:c r="A45" s="11" t="str">
        <x:v>S3-04</x:v>
      </x:c>
      <x:c r="B45" s="11" t="str">
        <x:v>Sprint 3</x:v>
      </x:c>
      <x:c r="C45" s="11" t="str">
        <x:v>Riesgo</x:v>
      </x:c>
      <x:c r="D45" s="11" t="str">
        <x:v>Implementar cálculo de riesgo, confianza y vigencia</x:v>
      </x:c>
      <x:c r="E45" s="11" t="str">
        <x:v>P</x:v>
      </x:c>
      <x:c r="F45" s="11" t="str">
        <x:v>R</x:v>
      </x:c>
      <x:c r="G45" s="11" t="str">
        <x:v>Crítica</x:v>
      </x:c>
      <x:c r="H45" s="11" t="str">
        <x:v>No iniciada</x:v>
      </x:c>
      <x:c r="I45" s="14" t="n">
        <x:v>2</x:v>
      </x:c>
      <x:c r="J45" s="11" t="str">
        <x:v>S3-03,S1-13</x:v>
      </x:c>
      <x:c r="K45" s="11" t="str">
        <x:v>Puntaje 0-100 con explicación reproducible</x:v>
      </x:c>
      <x:c r="L45" s="11" t="str">
        <x:v>Service</x:v>
      </x:c>
    </x:row>
    <x:row r="46">
      <x:c r="A46" s="11" t="str">
        <x:v>S3-05</x:v>
      </x:c>
      <x:c r="B46" s="11" t="str">
        <x:v>Sprint 3</x:v>
      </x:c>
      <x:c r="C46" s="11" t="str">
        <x:v>Riesgo</x:v>
      </x:c>
      <x:c r="D46" s="11" t="str">
        <x:v>Integrar eventos con ruta usando Turf.js</x:v>
      </x:c>
      <x:c r="E46" s="11" t="str">
        <x:v>P</x:v>
      </x:c>
      <x:c r="F46" s="11" t="str">
        <x:v>R</x:v>
      </x:c>
      <x:c r="G46" s="11" t="str">
        <x:v>Alta</x:v>
      </x:c>
      <x:c r="H46" s="11" t="str">
        <x:v>No iniciada</x:v>
      </x:c>
      <x:c r="I46" s="14" t="n">
        <x:v>2</x:v>
      </x:c>
      <x:c r="J46" s="11" t="str">
        <x:v>S3-04,S1-13,S2-11</x:v>
      </x:c>
      <x:c r="K46" s="11" t="str">
        <x:v>Solo eventos cercanos afectan la ruta</x:v>
      </x:c>
      <x:c r="L46" s="11" t="str">
        <x:v>Map logic</x:v>
      </x:c>
    </x:row>
    <x:row r="47">
      <x:c r="A47" s="11" t="str">
        <x:v>S3-06</x:v>
      </x:c>
      <x:c r="B47" s="11" t="str">
        <x:v>Sprint 3</x:v>
      </x:c>
      <x:c r="C47" s="11" t="str">
        <x:v>IA</x:v>
      </x:c>
      <x:c r="D47" s="11" t="str">
        <x:v>Implementar OpenAI Responses API para extraer eventos de noticias</x:v>
      </x:c>
      <x:c r="E47" s="11" t="str">
        <x:v>P</x:v>
      </x:c>
      <x:c r="F47" s="11" t="str">
        <x:v>R</x:v>
      </x:c>
      <x:c r="G47" s="11" t="str">
        <x:v>Alta</x:v>
      </x:c>
      <x:c r="H47" s="11" t="str">
        <x:v>No iniciada</x:v>
      </x:c>
      <x:c r="I47" s="14" t="n">
        <x:v>2</x:v>
      </x:c>
      <x:c r="J47" s="11" t="str">
        <x:v>S0-09</x:v>
      </x:c>
      <x:c r="K47" s="11" t="str">
        <x:v>Salida estructurada; no usa Gemini</x:v>
      </x:c>
      <x:c r="L47" s="11" t="str">
        <x:v>AI</x:v>
      </x:c>
    </x:row>
    <x:row r="48">
      <x:c r="A48" s="11" t="str">
        <x:v>S3-07</x:v>
      </x:c>
      <x:c r="B48" s="11" t="str">
        <x:v>Sprint 3</x:v>
      </x:c>
      <x:c r="C48" s="11" t="str">
        <x:v>IA</x:v>
      </x:c>
      <x:c r="D48" s="11" t="str">
        <x:v>Crear caché, timeout y fallback manual para análisis</x:v>
      </x:c>
      <x:c r="E48" s="11" t="str">
        <x:v>R</x:v>
      </x:c>
      <x:c r="F48" s="11" t="str">
        <x:v>P</x:v>
      </x:c>
      <x:c r="G48" s="11" t="str">
        <x:v>Crítica</x:v>
      </x:c>
      <x:c r="H48" s="11" t="str">
        <x:v>No iniciada</x:v>
      </x:c>
      <x:c r="I48" s="14" t="n">
        <x:v>2</x:v>
      </x:c>
      <x:c r="J48" s="11" t="str">
        <x:v>S3-06</x:v>
      </x:c>
      <x:c r="K48" s="11" t="str">
        <x:v>Demo funciona aunque OpenAI o búsqueda fallen</x:v>
      </x:c>
      <x:c r="L48" s="11" t="str">
        <x:v>Reliability</x:v>
      </x:c>
    </x:row>
    <x:row r="49">
      <x:c r="A49" s="11" t="str">
        <x:v>S3-08</x:v>
      </x:c>
      <x:c r="B49" s="11" t="str">
        <x:v>Sprint 3</x:v>
      </x:c>
      <x:c r="C49" s="11" t="str">
        <x:v>Riesgo UI</x:v>
      </x:c>
      <x:c r="D49" s="11" t="str">
        <x:v>Construir badges, desglose y pantalla de riesgo</x:v>
      </x:c>
      <x:c r="E49" s="11" t="str">
        <x:v>D</x:v>
      </x:c>
      <x:c r="F49" s="11" t="str">
        <x:v>P</x:v>
      </x:c>
      <x:c r="G49" s="11" t="str">
        <x:v>Crítica</x:v>
      </x:c>
      <x:c r="H49" s="11" t="str">
        <x:v>No iniciada</x:v>
      </x:c>
      <x:c r="I49" s="14" t="n">
        <x:v>2</x:v>
      </x:c>
      <x:c r="J49" s="11" t="str">
        <x:v>S3-04,S3-05</x:v>
      </x:c>
      <x:c r="K49" s="11" t="str">
        <x:v>Muestra riesgo, confianza, vigencia, fuentes e impacto</x:v>
      </x:c>
      <x:c r="L49" s="11" t="str">
        <x:v>Frontend</x:v>
      </x:c>
    </x:row>
    <x:row r="50">
      <x:c r="A50" s="11" t="str">
        <x:v>S3-09</x:v>
      </x:c>
      <x:c r="B50" s="11" t="str">
        <x:v>Sprint 3</x:v>
      </x:c>
      <x:c r="C50" s="11" t="str">
        <x:v>Viajes</x:v>
      </x:c>
      <x:c r="D50" s="11" t="str">
        <x:v>Implementar estados del viaje y timeline</x:v>
      </x:c>
      <x:c r="E50" s="11" t="str">
        <x:v>P</x:v>
      </x:c>
      <x:c r="F50" s="11" t="str">
        <x:v>D</x:v>
      </x:c>
      <x:c r="G50" s="11" t="str">
        <x:v>Alta</x:v>
      </x:c>
      <x:c r="H50" s="11" t="str">
        <x:v>No iniciada</x:v>
      </x:c>
      <x:c r="I50" s="14" t="n">
        <x:v>2</x:v>
      </x:c>
      <x:c r="J50" s="11" t="str">
        <x:v>S2-13</x:v>
      </x:c>
      <x:c r="K50" s="11" t="str">
        <x:v>Transportista actualiza y partes ven timeline</x:v>
      </x:c>
      <x:c r="L50" s="11" t="str">
        <x:v>Feature</x:v>
      </x:c>
    </x:row>
    <x:row r="51">
      <x:c r="A51" s="11" t="str">
        <x:v>S3-10</x:v>
      </x:c>
      <x:c r="B51" s="11" t="str">
        <x:v>Sprint 3</x:v>
      </x:c>
      <x:c r="C51" s="11" t="str">
        <x:v>Evidencias</x:v>
      </x:c>
      <x:c r="D51" s="11" t="str">
        <x:v>Implementar carga de fotos, peso y confirmación de entrega</x:v>
      </x:c>
      <x:c r="E51" s="11" t="str">
        <x:v>M</x:v>
      </x:c>
      <x:c r="F51" s="11" t="str">
        <x:v>R</x:v>
      </x:c>
      <x:c r="G51" s="11" t="str">
        <x:v>Alta</x:v>
      </x:c>
      <x:c r="H51" s="11" t="str">
        <x:v>No iniciada</x:v>
      </x:c>
      <x:c r="I51" s="14" t="n">
        <x:v>2</x:v>
      </x:c>
      <x:c r="J51" s="11" t="str">
        <x:v>S3-09</x:v>
      </x:c>
      <x:c r="K51" s="11" t="str">
        <x:v>Storage protegido y evidencias asociadas al viaje</x:v>
      </x:c>
      <x:c r="L51" s="11" t="str">
        <x:v>Feature</x:v>
      </x:c>
    </x:row>
    <x:row r="52">
      <x:c r="A52" s="11" t="str">
        <x:v>S3-11</x:v>
      </x:c>
      <x:c r="B52" s="11" t="str">
        <x:v>Sprint 3</x:v>
      </x:c>
      <x:c r="C52" s="11" t="str">
        <x:v>Integración</x:v>
      </x:c>
      <x:c r="D52" s="11" t="str">
        <x:v>Integrar flujo completo marketplace → orden → transporte → entrega</x:v>
      </x:c>
      <x:c r="E52" s="11" t="str">
        <x:v>R</x:v>
      </x:c>
      <x:c r="F52" s="11" t="str">
        <x:v>M</x:v>
      </x:c>
      <x:c r="G52" s="11" t="str">
        <x:v>Crítica</x:v>
      </x:c>
      <x:c r="H52" s="11" t="str">
        <x:v>No iniciada</x:v>
      </x:c>
      <x:c r="I52" s="14" t="n">
        <x:v>3</x:v>
      </x:c>
      <x:c r="J52" s="11" t="str">
        <x:v>S2-07,S2-13,S3-04,S3-09</x:v>
      </x:c>
      <x:c r="K52" s="11" t="str">
        <x:v>Flujo E2E funciona con datos reales</x:v>
      </x:c>
      <x:c r="L52" s="11" t="str">
        <x:v>Integration</x:v>
      </x:c>
    </x:row>
    <x:row r="53">
      <x:c r="A53" s="11" t="str">
        <x:v>S3-12</x:v>
      </x:c>
      <x:c r="B53" s="11" t="str">
        <x:v>Sprint 3</x:v>
      </x:c>
      <x:c r="C53" s="11" t="str">
        <x:v>Diseño</x:v>
      </x:c>
      <x:c r="D53" s="11" t="str">
        <x:v>Aplicar imágenes reales, estados vacíos, loading, error y offline</x:v>
      </x:c>
      <x:c r="E53" s="11" t="str">
        <x:v>D</x:v>
      </x:c>
      <x:c r="F53" s="11" t="str">
        <x:v>P</x:v>
      </x:c>
      <x:c r="G53" s="11" t="str">
        <x:v>Alta</x:v>
      </x:c>
      <x:c r="H53" s="11" t="str">
        <x:v>No iniciada</x:v>
      </x:c>
      <x:c r="I53" s="14" t="n">
        <x:v>2</x:v>
      </x:c>
      <x:c r="J53" s="11" t="str">
        <x:v>S1-10,S2-06,S3-08</x:v>
      </x:c>
      <x:c r="K53" s="11" t="str">
        <x:v>Todas las pantallas críticas tienen estados</x:v>
      </x:c>
      <x:c r="L53" s="11" t="str">
        <x:v>Polish</x:v>
      </x:c>
    </x:row>
    <x:row r="54">
      <x:c r="A54" s="11" t="str">
        <x:v>S3-13</x:v>
      </x:c>
      <x:c r="B54" s="11" t="str">
        <x:v>Sprint 3</x:v>
      </x:c>
      <x:c r="C54" s="11" t="str">
        <x:v>Administración</x:v>
      </x:c>
      <x:c r="D54" s="11" t="str">
        <x:v>Crear panel admin mínimo para usuarios, precios y eventos</x:v>
      </x:c>
      <x:c r="E54" s="11" t="str">
        <x:v>D</x:v>
      </x:c>
      <x:c r="F54" s="11" t="str">
        <x:v>R</x:v>
      </x:c>
      <x:c r="G54" s="11" t="str">
        <x:v>Media</x:v>
      </x:c>
      <x:c r="H54" s="11" t="str">
        <x:v>No iniciada</x:v>
      </x:c>
      <x:c r="I54" s="14" t="n">
        <x:v>2</x:v>
      </x:c>
      <x:c r="J54" s="11" t="str">
        <x:v>S3-03,S3-01</x:v>
      </x:c>
      <x:c r="K54" s="11" t="str">
        <x:v>Admin puede operar demo sin SQL</x:v>
      </x:c>
      <x:c r="L54" s="11" t="str">
        <x:v>Admin</x:v>
      </x:c>
    </x:row>
    <x:row r="55">
      <x:c r="A55" s="11" t="str">
        <x:v>S3-14</x:v>
      </x:c>
      <x:c r="B55" s="11" t="str">
        <x:v>Sprint 3</x:v>
      </x:c>
      <x:c r="C55" s="11" t="str">
        <x:v>Seguridad</x:v>
      </x:c>
      <x:c r="D55" s="11" t="str">
        <x:v>Revisión completa de RLS, endpoints y exposición del mínimo privado</x:v>
      </x:c>
      <x:c r="E55" s="11" t="str">
        <x:v>R</x:v>
      </x:c>
      <x:c r="F55" s="11" t="str">
        <x:v>M</x:v>
      </x:c>
      <x:c r="G55" s="11" t="str">
        <x:v>Crítica</x:v>
      </x:c>
      <x:c r="H55" s="11" t="str">
        <x:v>No iniciada</x:v>
      </x:c>
      <x:c r="I55" s="14" t="n">
        <x:v>2</x:v>
      </x:c>
      <x:c r="J55" s="11" t="str">
        <x:v>S3-11</x:v>
      </x:c>
      <x:c r="K55" s="11" t="str">
        <x:v>Pruebas negativas documentadas y superadas</x:v>
      </x:c>
      <x:c r="L55" s="11" t="str">
        <x:v>Security</x:v>
      </x:c>
    </x:row>
    <x:row r="56">
      <x:c r="A56" s="11" t="str">
        <x:v>S4-01</x:v>
      </x:c>
      <x:c r="B56" s="11" t="str">
        <x:v>Sprint 4</x:v>
      </x:c>
      <x:c r="C56" s="11" t="str">
        <x:v>QA</x:v>
      </x:c>
      <x:c r="D56" s="11" t="str">
        <x:v>Crear pruebas unitarias para negociación, reservas, precio y riesgo</x:v>
      </x:c>
      <x:c r="E56" s="11" t="str">
        <x:v>R</x:v>
      </x:c>
      <x:c r="F56" s="11" t="str">
        <x:v>P</x:v>
      </x:c>
      <x:c r="G56" s="11" t="str">
        <x:v>Crítica</x:v>
      </x:c>
      <x:c r="H56" s="11" t="str">
        <x:v>No iniciada</x:v>
      </x:c>
      <x:c r="I56" s="14" t="n">
        <x:v>2</x:v>
      </x:c>
      <x:c r="J56" s="11" t="str">
        <x:v>S3-14,S3-04,S3-01</x:v>
      </x:c>
      <x:c r="K56" s="11" t="str">
        <x:v>Casos críticos pasan en CI</x:v>
      </x:c>
      <x:c r="L56" s="11" t="str">
        <x:v>Tests</x:v>
      </x:c>
    </x:row>
    <x:row r="57">
      <x:c r="A57" s="11" t="str">
        <x:v>S4-02</x:v>
      </x:c>
      <x:c r="B57" s="11" t="str">
        <x:v>Sprint 4</x:v>
      </x:c>
      <x:c r="C57" s="11" t="str">
        <x:v>QA</x:v>
      </x:c>
      <x:c r="D57" s="11" t="str">
        <x:v>Ejecutar pruebas E2E manuales por rol</x:v>
      </x:c>
      <x:c r="E57" s="11" t="str">
        <x:v>M</x:v>
      </x:c>
      <x:c r="F57" s="11" t="str">
        <x:v>D</x:v>
      </x:c>
      <x:c r="G57" s="11" t="str">
        <x:v>Crítica</x:v>
      </x:c>
      <x:c r="H57" s="11" t="str">
        <x:v>No iniciada</x:v>
      </x:c>
      <x:c r="I57" s="14" t="n">
        <x:v>2</x:v>
      </x:c>
      <x:c r="J57" s="11" t="str">
        <x:v>S3-11</x:v>
      </x:c>
      <x:c r="K57" s="11" t="str">
        <x:v>Checklist completo sin bloqueantes</x:v>
      </x:c>
      <x:c r="L57" s="11" t="str">
        <x:v>QA</x:v>
      </x:c>
    </x:row>
    <x:row r="58">
      <x:c r="A58" s="11" t="str">
        <x:v>S4-03</x:v>
      </x:c>
      <x:c r="B58" s="11" t="str">
        <x:v>Sprint 4</x:v>
      </x:c>
      <x:c r="C58" s="11" t="str">
        <x:v>Datos demo</x:v>
      </x:c>
      <x:c r="D58" s="11" t="str">
        <x:v>Cargar escenario principal y escenario alternativo</x:v>
      </x:c>
      <x:c r="E58" s="11" t="str">
        <x:v>M</x:v>
      </x:c>
      <x:c r="F58" s="11" t="str">
        <x:v>P</x:v>
      </x:c>
      <x:c r="G58" s="11" t="str">
        <x:v>Alta</x:v>
      </x:c>
      <x:c r="H58" s="11" t="str">
        <x:v>No iniciada</x:v>
      </x:c>
      <x:c r="I58" s="14" t="n">
        <x:v>2</x:v>
      </x:c>
      <x:c r="J58" s="11" t="str">
        <x:v>S3-11,S1-14</x:v>
      </x:c>
      <x:c r="K58" s="11" t="str">
        <x:v>Dos demos reproducibles desde cuentas preparadas</x:v>
      </x:c>
      <x:c r="L58" s="11" t="str">
        <x:v>Demo</x:v>
      </x:c>
    </x:row>
    <x:row r="59">
      <x:c r="A59" s="11" t="str">
        <x:v>S4-04</x:v>
      </x:c>
      <x:c r="B59" s="11" t="str">
        <x:v>Sprint 4</x:v>
      </x:c>
      <x:c r="C59" s="11" t="str">
        <x:v>UX</x:v>
      </x:c>
      <x:c r="D59" s="11" t="str">
        <x:v>Realizar QA visual responsive y accesibilidad básica</x:v>
      </x:c>
      <x:c r="E59" s="11" t="str">
        <x:v>D</x:v>
      </x:c>
      <x:c r="F59" s="11" t="str">
        <x:v>M</x:v>
      </x:c>
      <x:c r="G59" s="11" t="str">
        <x:v>Alta</x:v>
      </x:c>
      <x:c r="H59" s="11" t="str">
        <x:v>No iniciada</x:v>
      </x:c>
      <x:c r="I59" s="14" t="n">
        <x:v>2</x:v>
      </x:c>
      <x:c r="J59" s="11" t="str">
        <x:v>S3-12</x:v>
      </x:c>
      <x:c r="K59" s="11" t="str">
        <x:v>390, 1024 y 1440 px sin errores graves</x:v>
      </x:c>
      <x:c r="L59" s="11" t="str">
        <x:v>Visual QA</x:v>
      </x:c>
    </x:row>
    <x:row r="60">
      <x:c r="A60" s="11" t="str">
        <x:v>S4-05</x:v>
      </x:c>
      <x:c r="B60" s="11" t="str">
        <x:v>Sprint 4</x:v>
      </x:c>
      <x:c r="C60" s="11" t="str">
        <x:v>Rendimiento</x:v>
      </x:c>
      <x:c r="D60" s="11" t="str">
        <x:v>Optimizar consultas, índices, imágenes y carga inicial</x:v>
      </x:c>
      <x:c r="E60" s="11" t="str">
        <x:v>D</x:v>
      </x:c>
      <x:c r="F60" s="11" t="str">
        <x:v>R</x:v>
      </x:c>
      <x:c r="G60" s="11" t="str">
        <x:v>Alta</x:v>
      </x:c>
      <x:c r="H60" s="11" t="str">
        <x:v>No iniciada</x:v>
      </x:c>
      <x:c r="I60" s="14" t="n">
        <x:v>2</x:v>
      </x:c>
      <x:c r="J60" s="11" t="str">
        <x:v>S3-11</x:v>
      </x:c>
      <x:c r="K60" s="11" t="str">
        <x:v>Pantallas críticas responden fluidamente</x:v>
      </x:c>
      <x:c r="L60" s="11" t="str">
        <x:v>Performance</x:v>
      </x:c>
    </x:row>
    <x:row r="61">
      <x:c r="A61" s="11" t="str">
        <x:v>S4-06</x:v>
      </x:c>
      <x:c r="B61" s="11" t="str">
        <x:v>Sprint 4</x:v>
      </x:c>
      <x:c r="C61" s="11" t="str">
        <x:v>Confiabilidad</x:v>
      </x:c>
      <x:c r="D61" s="11" t="str">
        <x:v>Preparar respuestas de IA cacheadas y rutas guardadas</x:v>
      </x:c>
      <x:c r="E61" s="11" t="str">
        <x:v>P</x:v>
      </x:c>
      <x:c r="F61" s="11" t="str">
        <x:v>R</x:v>
      </x:c>
      <x:c r="G61" s="11" t="str">
        <x:v>Crítica</x:v>
      </x:c>
      <x:c r="H61" s="11" t="str">
        <x:v>No iniciada</x:v>
      </x:c>
      <x:c r="I61" s="14" t="n">
        <x:v>2</x:v>
      </x:c>
      <x:c r="J61" s="11" t="str">
        <x:v>S3-07,S3-05</x:v>
      </x:c>
      <x:c r="K61" s="11" t="str">
        <x:v>Pitch no depende de servicios externos</x:v>
      </x:c>
      <x:c r="L61" s="11" t="str">
        <x:v>Fallback</x:v>
      </x:c>
    </x:row>
    <x:row r="62">
      <x:c r="A62" s="11" t="str">
        <x:v>S4-07</x:v>
      </x:c>
      <x:c r="B62" s="11" t="str">
        <x:v>Sprint 4</x:v>
      </x:c>
      <x:c r="C62" s="11" t="str">
        <x:v>Deploy</x:v>
      </x:c>
      <x:c r="D62" s="11" t="str">
        <x:v>Ejecutar migraciones limpias en producción y configurar secretos</x:v>
      </x:c>
      <x:c r="E62" s="11" t="str">
        <x:v>R</x:v>
      </x:c>
      <x:c r="F62" s="11" t="str">
        <x:v>P</x:v>
      </x:c>
      <x:c r="G62" s="11" t="str">
        <x:v>Crítica</x:v>
      </x:c>
      <x:c r="H62" s="11" t="str">
        <x:v>No iniciada</x:v>
      </x:c>
      <x:c r="I62" s="14" t="n">
        <x:v>2</x:v>
      </x:c>
      <x:c r="J62" s="11" t="str">
        <x:v>S4-01,S4-05</x:v>
      </x:c>
      <x:c r="K62" s="11" t="str">
        <x:v>Deploy estable y variables verificadas</x:v>
      </x:c>
      <x:c r="L62" s="11" t="str">
        <x:v>Production</x:v>
      </x:c>
    </x:row>
    <x:row r="63">
      <x:c r="A63" s="11" t="str">
        <x:v>S4-08</x:v>
      </x:c>
      <x:c r="B63" s="11" t="str">
        <x:v>Sprint 4</x:v>
      </x:c>
      <x:c r="C63" s="11" t="str">
        <x:v>Presentación</x:v>
      </x:c>
      <x:c r="D63" s="11" t="str">
        <x:v>Preparar prototipo Figma navegable y capturas de respaldo</x:v>
      </x:c>
      <x:c r="E63" s="11" t="str">
        <x:v>D</x:v>
      </x:c>
      <x:c r="F63" s="11" t="str">
        <x:v>R</x:v>
      </x:c>
      <x:c r="G63" s="11" t="str">
        <x:v>Alta</x:v>
      </x:c>
      <x:c r="H63" s="11" t="str">
        <x:v>No iniciada</x:v>
      </x:c>
      <x:c r="I63" s="14" t="n">
        <x:v>2</x:v>
      </x:c>
      <x:c r="J63" s="11" t="str">
        <x:v>S4-04</x:v>
      </x:c>
      <x:c r="K63" s="11" t="str">
        <x:v>Prototipo y capturas disponibles offline</x:v>
      </x:c>
      <x:c r="L63" s="11" t="str">
        <x:v>Figma</x:v>
      </x:c>
    </x:row>
    <x:row r="64">
      <x:c r="A64" s="11" t="str">
        <x:v>S4-09</x:v>
      </x:c>
      <x:c r="B64" s="11" t="str">
        <x:v>Sprint 4</x:v>
      </x:c>
      <x:c r="C64" s="11" t="str">
        <x:v>Presentación</x:v>
      </x:c>
      <x:c r="D64" s="11" t="str">
        <x:v>Escribir guion de pitch y asignar intervención a cada integrante</x:v>
      </x:c>
      <x:c r="E64" s="11" t="str">
        <x:v>M</x:v>
      </x:c>
      <x:c r="F64" s="11" t="str">
        <x:v>D</x:v>
      </x:c>
      <x:c r="G64" s="11" t="str">
        <x:v>Alta</x:v>
      </x:c>
      <x:c r="H64" s="11" t="str">
        <x:v>No iniciada</x:v>
      </x:c>
      <x:c r="I64" s="14" t="n">
        <x:v>2</x:v>
      </x:c>
      <x:c r="J64" s="11" t="str">
        <x:v>S4-03</x:v>
      </x:c>
      <x:c r="K64" s="11" t="str">
        <x:v>Pitch de 5 minutos ensayado</x:v>
      </x:c>
      <x:c r="L64" s="11" t="str">
        <x:v>Pitch</x:v>
      </x:c>
    </x:row>
    <x:row r="65">
      <x:c r="A65" s="11" t="str">
        <x:v>S4-10</x:v>
      </x:c>
      <x:c r="B65" s="11" t="str">
        <x:v>Sprint 4</x:v>
      </x:c>
      <x:c r="C65" s="11" t="str">
        <x:v>Presentación</x:v>
      </x:c>
      <x:c r="D65" s="11" t="str">
        <x:v>Grabar video de respaldo de 90 segundos</x:v>
      </x:c>
      <x:c r="E65" s="11" t="str">
        <x:v>P</x:v>
      </x:c>
      <x:c r="F65" s="11" t="str">
        <x:v>D</x:v>
      </x:c>
      <x:c r="G65" s="11" t="str">
        <x:v>Alta</x:v>
      </x:c>
      <x:c r="H65" s="11" t="str">
        <x:v>No iniciada</x:v>
      </x:c>
      <x:c r="I65" s="14" t="n">
        <x:v>2</x:v>
      </x:c>
      <x:c r="J65" s="11" t="str">
        <x:v>S4-06,S4-08</x:v>
      </x:c>
      <x:c r="K65" s="11" t="str">
        <x:v>Video exportado y disponible localmente</x:v>
      </x:c>
      <x:c r="L65" s="11" t="str">
        <x:v>Backup</x:v>
      </x:c>
    </x:row>
    <x:row r="66">
      <x:c r="A66" s="11" t="str">
        <x:v>S4-11</x:v>
      </x:c>
      <x:c r="B66" s="11" t="str">
        <x:v>Sprint 4</x:v>
      </x:c>
      <x:c r="C66" s="11" t="str">
        <x:v>Bugfix</x:v>
      </x:c>
      <x:c r="D66" s="11" t="str">
        <x:v>Congelar funciones y corregir únicamente bloqueantes</x:v>
      </x:c>
      <x:c r="E66" s="11" t="str">
        <x:v>R</x:v>
      </x:c>
      <x:c r="F66" s="11" t="str">
        <x:v>M</x:v>
      </x:c>
      <x:c r="G66" s="11" t="str">
        <x:v>Crítica</x:v>
      </x:c>
      <x:c r="H66" s="11" t="str">
        <x:v>No iniciada</x:v>
      </x:c>
      <x:c r="I66" s="14" t="n">
        <x:v>2</x:v>
      </x:c>
      <x:c r="J66" s="11" t="str">
        <x:v>S4-02,S4-04</x:v>
      </x:c>
      <x:c r="K66" s="11" t="str">
        <x:v>Cero bugs bloqueantes abiertos</x:v>
      </x:c>
      <x:c r="L66" s="11" t="str">
        <x:v>Release</x:v>
      </x:c>
    </x:row>
    <x:row r="67">
      <x:c r="A67" s="11" t="str">
        <x:v>S4-12</x:v>
      </x:c>
      <x:c r="B67" s="11" t="str">
        <x:v>Sprint 4</x:v>
      </x:c>
      <x:c r="C67" s="11" t="str">
        <x:v>Entrega</x:v>
      </x:c>
      <x:c r="D67" s="11" t="str">
        <x:v>Completar README, arquitectura, credenciales demo y checklist final</x:v>
      </x:c>
      <x:c r="E67" s="11" t="str">
        <x:v>M</x:v>
      </x:c>
      <x:c r="F67" s="11" t="str">
        <x:v>R</x:v>
      </x:c>
      <x:c r="G67" s="11" t="str">
        <x:v>Alta</x:v>
      </x:c>
      <x:c r="H67" s="11" t="str">
        <x:v>No iniciada</x:v>
      </x:c>
      <x:c r="I67" s="14" t="n">
        <x:v>2</x:v>
      </x:c>
      <x:c r="J67" s="11" t="str">
        <x:v>S4-07,S4-09</x:v>
      </x:c>
      <x:c r="K67" s="11" t="str">
        <x:v>Repositorio presentable para jurado</x:v>
      </x:c>
      <x:c r="L67" s="11" t="str">
        <x:v>Documentation</x:v>
      </x:c>
    </x:row>
  </x:sheetData>
  <x:mergeCells>
    <x:mergeCell ref="N1:Q1"/>
    <x:mergeCell ref="N2:Q4"/>
  </x:mergeCells>
  <x:conditionalFormatting sqref="H2:H67">
    <x:cfRule type="expression" dxfId="0" priority="1">
      <x:formula>H2="Completada"</x:formula>
    </x:cfRule>
    <x:cfRule type="expression" dxfId="1" priority="2">
      <x:formula>H2="En progreso"</x:formula>
    </x:cfRule>
    <x:cfRule type="expression" dxfId="2" priority="3">
      <x:formula>H2="Bloqueada"</x:formula>
    </x:cfRule>
  </x:conditionalFormatting>
  <x:conditionalFormatting sqref="G2:G67">
    <x:cfRule type="expression" dxfId="3" priority="4">
      <x:formula>G2="Crítica"</x:formula>
    </x:cfRule>
  </x:conditionalFormatting>
  <x:dataValidations count="4">
    <x:dataValidation type="list" sqref="E2:E67">
      <x:formula1>"D,M,P,R"</x:formula1>
    </x:dataValidation>
    <x:dataValidation type="list" sqref="F2:F67">
      <x:formula1>"D,M,P,R,—"</x:formula1>
    </x:dataValidation>
    <x:dataValidation type="list" sqref="G2:G67">
      <x:formula1>"Crítica,Alta,Media,Baja"</x:formula1>
    </x:dataValidation>
    <x:dataValidation type="list" sqref="H2:H67">
      <x:formula1>"No iniciada,En progreso,Bloqueada,En revisión,Completada,Descartada,En espera"</x:formula1>
    </x:dataValidation>
  </x:dataValidations>
  <x:pageMargins left="0.7" right="0.7" top="0.75" bottom="0.75" header="0.3" footer="0.3"/>
  <x:tableParts count="1">
    <x:tablePart xmlns:r="http://schemas.openxmlformats.org/officeDocument/2006/relationships" r:id="R3ed45de6530b4e69"/>
  </x:tableParts>
</x:worksheet>
</file>

<file path=xl/worksheets/sheet3.xml><?xml version="1.0" encoding="utf-8"?>
<x:worksheet xmlns:x="http://schemas.openxmlformats.org/spreadsheetml/2006/main">
  <x:sheetFormatPr defaultRowHeight="15"/>
  <x:cols>
    <x:col min="1" max="1" width="14" hidden="0" customWidth="1"/>
    <x:col min="2" max="2" width="14" hidden="0" customWidth="1"/>
    <x:col min="3" max="3" width="24" hidden="0" customWidth="1"/>
    <x:col min="4" max="4" width="48" hidden="0" customWidth="1"/>
    <x:col min="5" max="5" width="48" hidden="0" customWidth="1"/>
  </x:cols>
  <x:sheetData>
    <x:row r="1">
      <x:c r="A1" s="10" t="str">
        <x:v>Sprint</x:v>
      </x:c>
      <x:c r="B1" s="10" t="str">
        <x:v>Ventana</x:v>
      </x:c>
      <x:c r="C1" s="10" t="str">
        <x:v>Objetivo</x:v>
      </x:c>
      <x:c r="D1" s="10" t="str">
        <x:v>Resultado esperado</x:v>
      </x:c>
      <x:c r="E1" s="10" t="str">
        <x:v>Criterio de salida</x:v>
      </x:c>
    </x:row>
    <x:row r="2">
      <x:c r="A2" s="11" t="str">
        <x:v>Sprint 0</x:v>
      </x:c>
      <x:c r="B2" s="11" t="str">
        <x:v>0–3 h</x:v>
      </x:c>
      <x:c r="C2" s="11" t="str">
        <x:v>Fundación y contratos</x:v>
      </x:c>
      <x:c r="D2" s="11" t="str">
        <x:v>Repositorio, diseño base, reglas cerradas, stack y contratos compartidos</x:v>
      </x:c>
      <x:c r="E2" s="11" t="str">
        <x:v>Deploy vacío, DB auditada y tareas desbloqueadas</x:v>
      </x:c>
    </x:row>
    <x:row r="3">
      <x:c r="A3" s="11" t="str">
        <x:v>Sprint 1</x:v>
      </x:c>
      <x:c r="B3" s="11" t="str">
        <x:v>3–11 h</x:v>
      </x:c>
      <x:c r="C3" s="11" t="str">
        <x:v>Identidad y marketplace</x:v>
      </x:c>
      <x:c r="D3" s="11" t="str">
        <x:v>Autenticación, perfiles, publicaciones, marketplace y vehículos</x:v>
      </x:c>
      <x:c r="E3" s="11" t="str">
        <x:v>Un productor publica y un comprador puede explorar</x:v>
      </x:c>
    </x:row>
    <x:row r="4">
      <x:c r="A4" s="11" t="str">
        <x:v>Sprint 2</x:v>
      </x:c>
      <x:c r="B4" s="11" t="str">
        <x:v>11–20 h</x:v>
      </x:c>
      <x:c r="C4" s="11" t="str">
        <x:v>Negociación y órdenes</x:v>
      </x:c>
      <x:c r="D4" s="11" t="str">
        <x:v>Dos negociaciones, órdenes, varios productores y transporte</x:v>
      </x:c>
      <x:c r="E4" s="11" t="str">
        <x:v>Match crea orden y permite recibir ofertas de flete</x:v>
      </x:c>
    </x:row>
    <x:row r="5">
      <x:c r="A5" s="11" t="str">
        <x:v>Sprint 3</x:v>
      </x:c>
      <x:c r="B5" s="11" t="str">
        <x:v>20–29 h</x:v>
      </x:c>
      <x:c r="C5" s="11" t="str">
        <x:v>Inteligencia e integración</x:v>
      </x:c>
      <x:c r="D5" s="11" t="str">
        <x:v>Precio, riesgo, OpenAI, mapas, viajes y flujo completo</x:v>
      </x:c>
      <x:c r="E5" s="11" t="str">
        <x:v>Demo funcional de extremo a extremo</x:v>
      </x:c>
    </x:row>
    <x:row r="6">
      <x:c r="A6" s="11" t="str">
        <x:v>Sprint 4</x:v>
      </x:c>
      <x:c r="B6" s="11" t="str">
        <x:v>29–36 h</x:v>
      </x:c>
      <x:c r="C6" s="11" t="str">
        <x:v>QA, deploy y pitch</x:v>
      </x:c>
      <x:c r="D6" s="11" t="str">
        <x:v>Pruebas, fallbacks, datos demo, diseño final y presentación</x:v>
      </x:c>
      <x:c r="E6" s="11" t="str">
        <x:v>Entrega estable y demostración ensayada</x:v>
      </x:c>
    </x:row>
  </x:sheetData>
  <x:pageMargins left="0.7" right="0.7" top="0.75" bottom="0.75" header="0.3" footer="0.3"/>
  <x:tableParts count="1">
    <x:tablePart xmlns:r="http://schemas.openxmlformats.org/officeDocument/2006/relationships" r:id="R3935dc0bc46d4add"/>
  </x:tableParts>
</x:worksheet>
</file>

<file path=xl/worksheets/sheet4.xml><?xml version="1.0" encoding="utf-8"?>
<x:worksheet xmlns:x="http://schemas.openxmlformats.org/spreadsheetml/2006/main">
  <x:sheetFormatPr defaultRowHeight="15"/>
  <x:cols>
    <x:col min="1" max="1" width="14" hidden="0" customWidth="1"/>
    <x:col min="2" max="2" width="38" hidden="0" customWidth="1"/>
    <x:col min="3" max="3" width="12" hidden="0" customWidth="1"/>
    <x:col min="4" max="4" width="12" hidden="0" customWidth="1"/>
    <x:col min="5" max="5" width="12" hidden="0" customWidth="1"/>
    <x:col min="6" max="6" width="14" hidden="0" customWidth="1"/>
    <x:col min="7" max="7" width="48" hidden="0" customWidth="1"/>
  </x:cols>
  <x:sheetData>
    <x:row r="1">
      <x:c r="A1" s="10" t="str">
        <x:v>Tipo</x:v>
      </x:c>
      <x:c r="B1" s="10" t="str">
        <x:v>Elemento</x:v>
      </x:c>
      <x:c r="C1" s="10" t="str">
        <x:v>Responsable</x:v>
      </x:c>
      <x:c r="D1" s="10" t="str">
        <x:v>Sprint</x:v>
      </x:c>
      <x:c r="E1" s="10" t="str">
        <x:v>Prioridad</x:v>
      </x:c>
      <x:c r="F1" s="10" t="str">
        <x:v>Estado</x:v>
      </x:c>
      <x:c r="G1" s="10" t="str">
        <x:v>Criterio/Notas</x:v>
      </x:c>
    </x:row>
    <x:row r="2">
      <x:c r="A2" s="11" t="str">
        <x:v>Cuenta</x:v>
      </x:c>
      <x:c r="B2" s="11" t="str">
        <x:v>GitHub organización/repositorio</x:v>
      </x:c>
      <x:c r="C2" s="11" t="str">
        <x:v>R</x:v>
      </x:c>
      <x:c r="D2" s="11" t="str">
        <x:v>Sprint 0</x:v>
      </x:c>
      <x:c r="E2" s="11" t="str">
        <x:v>Crítica</x:v>
      </x:c>
      <x:c r="F2" s="11" t="str">
        <x:v>No iniciada</x:v>
      </x:c>
      <x:c r="G2" s="11" t="str">
        <x:v>Invitar D, M, P y R; proteger main</x:v>
      </x:c>
    </x:row>
    <x:row r="3">
      <x:c r="A3" s="11" t="str">
        <x:v>Cuenta</x:v>
      </x:c>
      <x:c r="B3" s="11" t="str">
        <x:v>Supabase proyecto</x:v>
      </x:c>
      <x:c r="C3" s="11" t="str">
        <x:v>R</x:v>
      </x:c>
      <x:c r="D3" s="11" t="str">
        <x:v>Sprint 0</x:v>
      </x:c>
      <x:c r="E3" s="11" t="str">
        <x:v>Crítica</x:v>
      </x:c>
      <x:c r="F3" s="11" t="str">
        <x:v>No iniciada</x:v>
      </x:c>
      <x:c r="G3" s="11" t="str">
        <x:v>Proyecto compartido; región y claves registradas</x:v>
      </x:c>
    </x:row>
    <x:row r="4">
      <x:c r="A4" s="11" t="str">
        <x:v>Cuenta</x:v>
      </x:c>
      <x:c r="B4" s="11" t="str">
        <x:v>Vercel team/proyecto</x:v>
      </x:c>
      <x:c r="C4" s="11" t="str">
        <x:v>R</x:v>
      </x:c>
      <x:c r="D4" s="11" t="str">
        <x:v>Sprint 0</x:v>
      </x:c>
      <x:c r="E4" s="11" t="str">
        <x:v>Crítica</x:v>
      </x:c>
      <x:c r="F4" s="11" t="str">
        <x:v>No iniciada</x:v>
      </x:c>
      <x:c r="G4" s="11" t="str">
        <x:v>Deploy desde GitHub</x:v>
      </x:c>
    </x:row>
    <x:row r="5">
      <x:c r="A5" s="11" t="str">
        <x:v>Cuenta</x:v>
      </x:c>
      <x:c r="B5" s="11" t="str">
        <x:v>Figma/Figma Make</x:v>
      </x:c>
      <x:c r="C5" s="11" t="str">
        <x:v>D</x:v>
      </x:c>
      <x:c r="D5" s="11" t="str">
        <x:v>Sprint 0</x:v>
      </x:c>
      <x:c r="E5" s="11" t="str">
        <x:v>Crítica</x:v>
      </x:c>
      <x:c r="F5" s="11" t="str">
        <x:v>No iniciada</x:v>
      </x:c>
      <x:c r="G5" s="11" t="str">
        <x:v>Proyecto compartido con librería de componentes</x:v>
      </x:c>
    </x:row>
    <x:row r="6">
      <x:c r="A6" s="11" t="str">
        <x:v>Cuenta</x:v>
      </x:c>
      <x:c r="B6" s="11" t="str">
        <x:v>OpenAI API project</x:v>
      </x:c>
      <x:c r="C6" s="11" t="str">
        <x:v>P</x:v>
      </x:c>
      <x:c r="D6" s="11" t="str">
        <x:v>Sprint 0</x:v>
      </x:c>
      <x:c r="E6" s="11" t="str">
        <x:v>Crítica</x:v>
      </x:c>
      <x:c r="F6" s="11" t="str">
        <x:v>No iniciada</x:v>
      </x:c>
      <x:c r="G6" s="11" t="str">
        <x:v>Responses API; presupuesto y límites; no Gemini</x:v>
      </x:c>
    </x:row>
    <x:row r="7">
      <x:c r="A7" s="11" t="str">
        <x:v>Cuenta</x:v>
      </x:c>
      <x:c r="B7" s="11" t="str">
        <x:v>Mapbox</x:v>
      </x:c>
      <x:c r="C7" s="11" t="str">
        <x:v>P</x:v>
      </x:c>
      <x:c r="D7" s="11" t="str">
        <x:v>Sprint 0</x:v>
      </x:c>
      <x:c r="E7" s="11" t="str">
        <x:v>Alta</x:v>
      </x:c>
      <x:c r="F7" s="11" t="str">
        <x:v>No iniciada</x:v>
      </x:c>
      <x:c r="G7" s="11" t="str">
        <x:v>Token restringido al dominio</x:v>
      </x:c>
    </x:row>
    <x:row r="8">
      <x:c r="A8" s="11" t="str">
        <x:v>Cuenta</x:v>
      </x:c>
      <x:c r="B8" s="11" t="str">
        <x:v>Resend</x:v>
      </x:c>
      <x:c r="C8" s="11" t="str">
        <x:v>M</x:v>
      </x:c>
      <x:c r="D8" s="11" t="str">
        <x:v>Sprint 3</x:v>
      </x:c>
      <x:c r="E8" s="11" t="str">
        <x:v>Baja</x:v>
      </x:c>
      <x:c r="F8" s="11" t="str">
        <x:v>No iniciada</x:v>
      </x:c>
      <x:c r="G8" s="11" t="str">
        <x:v>Solo si sobra tiempo</x:v>
      </x:c>
    </x:row>
    <x:row r="9">
      <x:c r="A9" s="11" t="str">
        <x:v>Cuenta</x:v>
      </x:c>
      <x:c r="B9" s="11" t="str">
        <x:v>Sentry</x:v>
      </x:c>
      <x:c r="C9" s="11" t="str">
        <x:v>R</x:v>
      </x:c>
      <x:c r="D9" s="11" t="str">
        <x:v>Sprint 3</x:v>
      </x:c>
      <x:c r="E9" s="11" t="str">
        <x:v>Media</x:v>
      </x:c>
      <x:c r="F9" s="11" t="str">
        <x:v>No iniciada</x:v>
      </x:c>
      <x:c r="G9" s="11" t="str">
        <x:v>Opcional para errores de producción</x:v>
      </x:c>
    </x:row>
    <x:row r="10">
      <x:c r="A10" s="11" t="str">
        <x:v>Variable</x:v>
      </x:c>
      <x:c r="B10" s="11" t="str">
        <x:v>NEXT_PUBLIC_SUPABASE_URL</x:v>
      </x:c>
      <x:c r="C10" s="11" t="str">
        <x:v>R</x:v>
      </x:c>
      <x:c r="D10" s="11" t="str">
        <x:v>Sprint 0</x:v>
      </x:c>
      <x:c r="E10" s="11" t="str">
        <x:v>Crítica</x:v>
      </x:c>
      <x:c r="F10" s="11" t="str">
        <x:v>No iniciada</x:v>
      </x:c>
      <x:c r="G10" s="11" t="str">
        <x:v>Local y Vercel</x:v>
      </x:c>
    </x:row>
    <x:row r="11">
      <x:c r="A11" s="11" t="str">
        <x:v>Variable</x:v>
      </x:c>
      <x:c r="B11" s="11" t="str">
        <x:v>NEXT_PUBLIC_SUPABASE_PUBLISHABLE_KEY</x:v>
      </x:c>
      <x:c r="C11" s="11" t="str">
        <x:v>R</x:v>
      </x:c>
      <x:c r="D11" s="11" t="str">
        <x:v>Sprint 0</x:v>
      </x:c>
      <x:c r="E11" s="11" t="str">
        <x:v>Crítica</x:v>
      </x:c>
      <x:c r="F11" s="11" t="str">
        <x:v>No iniciada</x:v>
      </x:c>
      <x:c r="G11" s="11" t="str">
        <x:v>No confundir con service role</x:v>
      </x:c>
    </x:row>
    <x:row r="12">
      <x:c r="A12" s="11" t="str">
        <x:v>Variable</x:v>
      </x:c>
      <x:c r="B12" s="11" t="str">
        <x:v>SUPABASE_SERVICE_ROLE_KEY</x:v>
      </x:c>
      <x:c r="C12" s="11" t="str">
        <x:v>R</x:v>
      </x:c>
      <x:c r="D12" s="11" t="str">
        <x:v>Sprint 0</x:v>
      </x:c>
      <x:c r="E12" s="11" t="str">
        <x:v>Crítica</x:v>
      </x:c>
      <x:c r="F12" s="11" t="str">
        <x:v>No iniciada</x:v>
      </x:c>
      <x:c r="G12" s="11" t="str">
        <x:v>Solo servidor</x:v>
      </x:c>
    </x:row>
    <x:row r="13">
      <x:c r="A13" s="11" t="str">
        <x:v>Variable</x:v>
      </x:c>
      <x:c r="B13" s="11" t="str">
        <x:v>OPENAI_API_KEY</x:v>
      </x:c>
      <x:c r="C13" s="11" t="str">
        <x:v>P</x:v>
      </x:c>
      <x:c r="D13" s="11" t="str">
        <x:v>Sprint 3</x:v>
      </x:c>
      <x:c r="E13" s="11" t="str">
        <x:v>Crítica</x:v>
      </x:c>
      <x:c r="F13" s="11" t="str">
        <x:v>No iniciada</x:v>
      </x:c>
      <x:c r="G13" s="11" t="str">
        <x:v>Solo servidor; no Gemini</x:v>
      </x:c>
    </x:row>
    <x:row r="14">
      <x:c r="A14" s="11" t="str">
        <x:v>Variable</x:v>
      </x:c>
      <x:c r="B14" s="11" t="str">
        <x:v>NEXT_PUBLIC_MAPBOX_TOKEN</x:v>
      </x:c>
      <x:c r="C14" s="11" t="str">
        <x:v>P</x:v>
      </x:c>
      <x:c r="D14" s="11" t="str">
        <x:v>Sprint 1</x:v>
      </x:c>
      <x:c r="E14" s="11" t="str">
        <x:v>Alta</x:v>
      </x:c>
      <x:c r="F14" s="11" t="str">
        <x:v>No iniciada</x:v>
      </x:c>
      <x:c r="G14" s="11" t="str">
        <x:v>Token público restringido</x:v>
      </x:c>
    </x:row>
    <x:row r="15">
      <x:c r="A15" s="11" t="str">
        <x:v>Dato</x:v>
      </x:c>
      <x:c r="B15" s="11" t="str">
        <x:v>Catálogo de productos y variedades</x:v>
      </x:c>
      <x:c r="C15" s="11" t="str">
        <x:v>M</x:v>
      </x:c>
      <x:c r="D15" s="11" t="str">
        <x:v>Sprint 0</x:v>
      </x:c>
      <x:c r="E15" s="11" t="str">
        <x:v>Crítica</x:v>
      </x:c>
      <x:c r="F15" s="11" t="str">
        <x:v>No iniciada</x:v>
      </x:c>
      <x:c r="G15" s="11" t="str">
        <x:v>Papa, fibra, quinua, cebolla y trucha</x:v>
      </x:c>
    </x:row>
    <x:row r="16">
      <x:c r="A16" s="11" t="str">
        <x:v>Dato</x:v>
      </x:c>
      <x:c r="B16" s="11" t="str">
        <x:v>Unidades y conversiones</x:v>
      </x:c>
      <x:c r="C16" s="11" t="str">
        <x:v>R</x:v>
      </x:c>
      <x:c r="D16" s="11" t="str">
        <x:v>Sprint 1</x:v>
      </x:c>
      <x:c r="E16" s="11" t="str">
        <x:v>Alta</x:v>
      </x:c>
      <x:c r="F16" s="11" t="str">
        <x:v>No iniciada</x:v>
      </x:c>
      <x:c r="G16" s="11" t="str">
        <x:v>kg, t, quintal, saco y unidad</x:v>
      </x:c>
    </x:row>
    <x:row r="17">
      <x:c r="A17" s="11" t="str">
        <x:v>Dato</x:v>
      </x:c>
      <x:c r="B17" s="11" t="str">
        <x:v>Atributos de calidad por producto</x:v>
      </x:c>
      <x:c r="C17" s="11" t="str">
        <x:v>M</x:v>
      </x:c>
      <x:c r="D17" s="11" t="str">
        <x:v>Sprint 1</x:v>
      </x:c>
      <x:c r="E17" s="11" t="str">
        <x:v>Crítica</x:v>
      </x:c>
      <x:c r="F17" s="11" t="str">
        <x:v>No iniciada</x:v>
      </x:c>
      <x:c r="G17" s="11" t="str">
        <x:v>Calibre, color, humedad, finura y presentación</x:v>
      </x:c>
    </x:row>
    <x:row r="18">
      <x:c r="A18" s="11" t="str">
        <x:v>Dato</x:v>
      </x:c>
      <x:c r="B18" s="11" t="str">
        <x:v>20–30 observaciones de precio por producto demo</x:v>
      </x:c>
      <x:c r="C18" s="11" t="str">
        <x:v>P</x:v>
      </x:c>
      <x:c r="D18" s="11" t="str">
        <x:v>Sprint 3</x:v>
      </x:c>
      <x:c r="E18" s="11" t="str">
        <x:v>Crítica</x:v>
      </x:c>
      <x:c r="F18" s="11" t="str">
        <x:v>No iniciada</x:v>
      </x:c>
      <x:c r="G18" s="11" t="str">
        <x:v>Fecha, mercado, región, bajo/medio/alto y fuente</x:v>
      </x:c>
    </x:row>
    <x:row r="19">
      <x:c r="A19" s="11" t="str">
        <x:v>Dato</x:v>
      </x:c>
      <x:c r="B19" s="11" t="str">
        <x:v>Eventos de riesgo precargados</x:v>
      </x:c>
      <x:c r="C19" s="11" t="str">
        <x:v>P</x:v>
      </x:c>
      <x:c r="D19" s="11" t="str">
        <x:v>Sprint 3</x:v>
      </x:c>
      <x:c r="E19" s="11" t="str">
        <x:v>Crítica</x:v>
      </x:c>
      <x:c r="F19" s="11" t="str">
        <x:v>No iniciada</x:v>
      </x:c>
      <x:c r="G19" s="11" t="str">
        <x:v>Bloqueo, protesta, lluvia, accidente y ruta libre</x:v>
      </x:c>
    </x:row>
    <x:row r="20">
      <x:c r="A20" s="11" t="str">
        <x:v>Dato</x:v>
      </x:c>
      <x:c r="B20" s="11" t="str">
        <x:v>Ubicaciones y coordenadas aproximadas</x:v>
      </x:c>
      <x:c r="C20" s="11" t="str">
        <x:v>P</x:v>
      </x:c>
      <x:c r="D20" s="11" t="str">
        <x:v>Sprint 1</x:v>
      </x:c>
      <x:c r="E20" s="11" t="str">
        <x:v>Alta</x:v>
      </x:c>
      <x:c r="F20" s="11" t="str">
        <x:v>No iniciada</x:v>
      </x:c>
      <x:c r="G20" s="11" t="str">
        <x:v>Acora, Ilave, Mazocruz, Juli, Puno y Arequipa</x:v>
      </x:c>
    </x:row>
    <x:row r="21">
      <x:c r="A21" s="11" t="str">
        <x:v>Dato</x:v>
      </x:c>
      <x:c r="B21" s="11" t="str">
        <x:v>Usuarios de demostración</x:v>
      </x:c>
      <x:c r="C21" s="11" t="str">
        <x:v>M</x:v>
      </x:c>
      <x:c r="D21" s="11" t="str">
        <x:v>Sprint 1</x:v>
      </x:c>
      <x:c r="E21" s="11" t="str">
        <x:v>Crítica</x:v>
      </x:c>
      <x:c r="F21" s="11" t="str">
        <x:v>No iniciada</x:v>
      </x:c>
      <x:c r="G21" s="11" t="str">
        <x:v>3 productores, 2 compradores, 3 transportistas</x:v>
      </x:c>
    </x:row>
    <x:row r="22">
      <x:c r="A22" s="11" t="str">
        <x:v>Dato</x:v>
      </x:c>
      <x:c r="B22" s="11" t="str">
        <x:v>Vehículos de demostración</x:v>
      </x:c>
      <x:c r="C22" s="11" t="str">
        <x:v>P</x:v>
      </x:c>
      <x:c r="D22" s="11" t="str">
        <x:v>Sprint 1</x:v>
      </x:c>
      <x:c r="E22" s="11" t="str">
        <x:v>Alta</x:v>
      </x:c>
      <x:c r="F22" s="11" t="str">
        <x:v>No iniciada</x:v>
      </x:c>
      <x:c r="G22" s="11" t="str">
        <x:v>Pickup, 4x4, 8 t, 12 t y furgón</x:v>
      </x:c>
    </x:row>
    <x:row r="23">
      <x:c r="A23" s="11" t="str">
        <x:v>Dato</x:v>
      </x:c>
      <x:c r="B23" s="11" t="str">
        <x:v>Fotografías reales y permisos de uso</x:v>
      </x:c>
      <x:c r="C23" s="11" t="str">
        <x:v>D</x:v>
      </x:c>
      <x:c r="D23" s="11" t="str">
        <x:v>Sprint 1</x:v>
      </x:c>
      <x:c r="E23" s="11" t="str">
        <x:v>Alta</x:v>
      </x:c>
      <x:c r="F23" s="11" t="str">
        <x:v>No iniciada</x:v>
      </x:c>
      <x:c r="G23" s="11" t="str">
        <x:v>Altiplano, productos, rutas y camiones</x:v>
      </x:c>
    </x:row>
    <x:row r="24">
      <x:c r="A24" s="11" t="str">
        <x:v>Documento</x:v>
      </x:c>
      <x:c r="B24" s="11" t="str">
        <x:v>Política de privacidad de demo</x:v>
      </x:c>
      <x:c r="C24" s="11" t="str">
        <x:v>M</x:v>
      </x:c>
      <x:c r="D24" s="11" t="str">
        <x:v>Sprint 4</x:v>
      </x:c>
      <x:c r="E24" s="11" t="str">
        <x:v>Media</x:v>
      </x:c>
      <x:c r="F24" s="11" t="str">
        <x:v>No iniciada</x:v>
      </x:c>
      <x:c r="G24" s="11" t="str">
        <x:v>Aclarar ubicación aproximada y datos simulados</x:v>
      </x:c>
    </x:row>
    <x:row r="25">
      <x:c r="A25" s="11" t="str">
        <x:v>Documento</x:v>
      </x:c>
      <x:c r="B25" s="11" t="str">
        <x:v>Credenciales demo por rol</x:v>
      </x:c>
      <x:c r="C25" s="11" t="str">
        <x:v>M</x:v>
      </x:c>
      <x:c r="D25" s="11" t="str">
        <x:v>Sprint 4</x:v>
      </x:c>
      <x:c r="E25" s="11" t="str">
        <x:v>Crítica</x:v>
      </x:c>
      <x:c r="F25" s="11" t="str">
        <x:v>No iniciada</x:v>
      </x:c>
      <x:c r="G25" s="11" t="str">
        <x:v>Lista impresa/local para pitch</x:v>
      </x:c>
    </x:row>
  </x:sheetData>
  <x:conditionalFormatting sqref="F2:F25">
    <x:cfRule type="expression" dxfId="4" priority="1">
      <x:formula>F2="Completada"</x:formula>
    </x:cfRule>
  </x:conditionalFormatting>
  <x:dataValidations count="2">
    <x:dataValidation type="list" sqref="C2:C25">
      <x:formula1>"D,M,P,R"</x:formula1>
    </x:dataValidation>
    <x:dataValidation type="list" sqref="F2:F25">
      <x:formula1>"No iniciada,En progreso,Bloqueada,En revisión,Completada"</x:formula1>
    </x:dataValidation>
  </x:dataValidations>
  <x:pageMargins left="0.7" right="0.7" top="0.75" bottom="0.75" header="0.3" footer="0.3"/>
  <x:tableParts count="1">
    <x:tablePart xmlns:r="http://schemas.openxmlformats.org/officeDocument/2006/relationships" r:id="Re52d3486af5d42a0"/>
  </x:tableParts>
</x:worksheet>
</file>

<file path=xl/worksheets/sheet5.xml><?xml version="1.0" encoding="utf-8"?>
<x:worksheet xmlns:x="http://schemas.openxmlformats.org/spreadsheetml/2006/main">
  <x:sheetFormatPr defaultRowHeight="15"/>
  <x:cols>
    <x:col min="1" max="1" width="10" hidden="0" customWidth="1"/>
    <x:col min="2" max="2" width="48" hidden="0" customWidth="1"/>
    <x:col min="3" max="3" width="12" hidden="0" customWidth="1"/>
    <x:col min="4" max="4" width="12" hidden="0" customWidth="1"/>
    <x:col min="5" max="5" width="14" hidden="0" customWidth="1"/>
    <x:col min="6" max="6" width="50" hidden="0" customWidth="1"/>
  </x:cols>
  <x:sheetData>
    <x:row r="1">
      <x:c r="A1" s="10" t="str">
        <x:v>ID</x:v>
      </x:c>
      <x:c r="B1" s="10" t="str">
        <x:v>Corrección exacta</x:v>
      </x:c>
      <x:c r="C1" s="10" t="str">
        <x:v>Responsable</x:v>
      </x:c>
      <x:c r="D1" s="10" t="str">
        <x:v>Prioridad</x:v>
      </x:c>
      <x:c r="E1" s="10" t="str">
        <x:v>Estado</x:v>
      </x:c>
      <x:c r="F1" s="10" t="str">
        <x:v>Criterio de aceptación</x:v>
      </x:c>
    </x:row>
    <x:row r="2">
      <x:c r="A2" s="11" t="str">
        <x:v>DB-01</x:v>
      </x:c>
      <x:c r="B2" s="11" t="str">
        <x:v>Validar que cada script ejecute desde una base vacía</x:v>
      </x:c>
      <x:c r="C2" s="11" t="str">
        <x:v>R</x:v>
      </x:c>
      <x:c r="D2" s="11" t="str">
        <x:v>Crítica</x:v>
      </x:c>
      <x:c r="E2" s="11" t="str">
        <x:v>No iniciada</x:v>
      </x:c>
      <x:c r="F2" s="11" t="str">
        <x:v>No deben existir dependencias hacia objetos aún no creados</x:v>
      </x:c>
    </x:row>
    <x:row r="3">
      <x:c r="A3" s="11" t="str">
        <x:v>DB-02</x:v>
      </x:c>
      <x:c r="B3" s="11" t="str">
        <x:v>Revisar nombres de tablas y referencias del mínimo privado</x:v>
      </x:c>
      <x:c r="C3" s="11" t="str">
        <x:v>R</x:v>
      </x:c>
      <x:c r="D3" s="11" t="str">
        <x:v>Crítica</x:v>
      </x:c>
      <x:c r="E3" s="11" t="str">
        <x:v>No iniciada</x:v>
      </x:c>
      <x:c r="F3" s="11" t="str">
        <x:v>Unificar offer_negotiation_policies; no usar nombres inexistentes</x:v>
      </x:c>
    </x:row>
    <x:row r="4">
      <x:c r="A4" s="11" t="str">
        <x:v>DB-03</x:v>
      </x:c>
      <x:c r="B4" s="11" t="str">
        <x:v>Asegurar que hidden_floor_price no aparezca en vistas públicas</x:v>
      </x:c>
      <x:c r="C4" s="11" t="str">
        <x:v>R</x:v>
      </x:c>
      <x:c r="D4" s="11" t="str">
        <x:v>Crítica</x:v>
      </x:c>
      <x:c r="E4" s="11" t="str">
        <x:v>No iniciada</x:v>
      </x:c>
      <x:c r="F4" s="11" t="str">
        <x:v>SELECT público nunca devuelve el campo</x:v>
      </x:c>
    </x:row>
    <x:row r="5">
      <x:c r="A5" s="11" t="str">
        <x:v>DB-04</x:v>
      </x:c>
      <x:c r="B5" s="11" t="str">
        <x:v>Completar RLS para subtablas, órdenes, asignaciones y evidencias</x:v>
      </x:c>
      <x:c r="C5" s="11" t="str">
        <x:v>R</x:v>
      </x:c>
      <x:c r="D5" s="11" t="str">
        <x:v>Crítica</x:v>
      </x:c>
      <x:c r="E5" s="11" t="str">
        <x:v>No iniciada</x:v>
      </x:c>
      <x:c r="F5" s="11" t="str">
        <x:v>Cada tabla sensible tiene política explícita</x:v>
      </x:c>
    </x:row>
    <x:row r="6">
      <x:c r="A6" s="11" t="str">
        <x:v>DB-05</x:v>
      </x:c>
      <x:c r="B6" s="11" t="str">
        <x:v>Revisar permisos de funciones SECURITY DEFINER</x:v>
      </x:c>
      <x:c r="C6" s="11" t="str">
        <x:v>R</x:v>
      </x:c>
      <x:c r="D6" s="11" t="str">
        <x:v>Crítica</x:v>
      </x:c>
      <x:c r="E6" s="11" t="str">
        <x:v>No iniciada</x:v>
      </x:c>
      <x:c r="F6" s="11" t="str">
        <x:v>search_path fijo; revoke public; grant authenticated</x:v>
      </x:c>
    </x:row>
    <x:row r="7">
      <x:c r="A7" s="11" t="str">
        <x:v>DB-06</x:v>
      </x:c>
      <x:c r="B7" s="11" t="str">
        <x:v>Probar concurrencia en submit_quick_offer</x:v>
      </x:c>
      <x:c r="C7" s="11" t="str">
        <x:v>R</x:v>
      </x:c>
      <x:c r="D7" s="11" t="str">
        <x:v>Crítica</x:v>
      </x:c>
      <x:c r="E7" s="11" t="str">
        <x:v>No iniciada</x:v>
      </x:c>
      <x:c r="F7" s="11" t="str">
        <x:v>Dos ofertas simultáneas no venden stock doble</x:v>
      </x:c>
    </x:row>
    <x:row r="8">
      <x:c r="A8" s="11" t="str">
        <x:v>DB-07</x:v>
      </x:c>
      <x:c r="B8" s="11" t="str">
        <x:v>Corregir liberación de reservas expiradas y conteo actualizado</x:v>
      </x:c>
      <x:c r="C8" s="11" t="str">
        <x:v>R</x:v>
      </x:c>
      <x:c r="D8" s="11" t="str">
        <x:v>Alta</x:v>
      </x:c>
      <x:c r="E8" s="11" t="str">
        <x:v>No iniciada</x:v>
      </x:c>
      <x:c r="F8" s="11" t="str">
        <x:v>Stock y orden quedan consistentes</x:v>
      </x:c>
    </x:row>
    <x:row r="9">
      <x:c r="A9" s="11" t="str">
        <x:v>DB-08</x:v>
      </x:c>
      <x:c r="B9" s="11" t="str">
        <x:v>Agregar índices a FKs y consultas frecuentes</x:v>
      </x:c>
      <x:c r="C9" s="11" t="str">
        <x:v>R</x:v>
      </x:c>
      <x:c r="D9" s="11" t="str">
        <x:v>Alta</x:v>
      </x:c>
      <x:c r="E9" s="11" t="str">
        <x:v>No iniciada</x:v>
      </x:c>
      <x:c r="F9" s="11" t="str">
        <x:v>Explain básico sin full scans innecesarios</x:v>
      </x:c>
    </x:row>
    <x:row r="10">
      <x:c r="A10" s="11" t="str">
        <x:v>DB-09</x:v>
      </x:c>
      <x:c r="B10" s="11" t="str">
        <x:v>Validar que una variedad pertenezca al producto de la publicación</x:v>
      </x:c>
      <x:c r="C10" s="11" t="str">
        <x:v>R</x:v>
      </x:c>
      <x:c r="D10" s="11" t="str">
        <x:v>Alta</x:v>
      </x:c>
      <x:c r="E10" s="11" t="str">
        <x:v>No iniciada</x:v>
      </x:c>
      <x:c r="F10" s="11" t="str">
        <x:v>Trigger o constraint evita combinaciones inválidas</x:v>
      </x:c>
    </x:row>
    <x:row r="11">
      <x:c r="A11" s="11" t="str">
        <x:v>DB-10</x:v>
      </x:c>
      <x:c r="B11" s="11" t="str">
        <x:v>Validar que atributos pertenezcan al producto correcto</x:v>
      </x:c>
      <x:c r="C11" s="11" t="str">
        <x:v>R</x:v>
      </x:c>
      <x:c r="D11" s="11" t="str">
        <x:v>Alta</x:v>
      </x:c>
      <x:c r="E11" s="11" t="str">
        <x:v>No iniciada</x:v>
      </x:c>
      <x:c r="F11" s="11" t="str">
        <x:v>No se asigna finura a papa, por ejemplo</x:v>
      </x:c>
    </x:row>
    <x:row r="12">
      <x:c r="A12" s="11" t="str">
        <x:v>DB-11</x:v>
      </x:c>
      <x:c r="B12" s="11" t="str">
        <x:v>Validar que actor tenga el rol necesario para publicar u ofertar</x:v>
      </x:c>
      <x:c r="C12" s="11" t="str">
        <x:v>R</x:v>
      </x:c>
      <x:c r="D12" s="11" t="str">
        <x:v>Alta</x:v>
      </x:c>
      <x:c r="E12" s="11" t="str">
        <x:v>No iniciada</x:v>
      </x:c>
      <x:c r="F12" s="11" t="str">
        <x:v>Productor, comprador y transportista autorizados</x:v>
      </x:c>
    </x:row>
    <x:row r="13">
      <x:c r="A13" s="11" t="str">
        <x:v>DB-12</x:v>
      </x:c>
      <x:c r="B13" s="11" t="str">
        <x:v>Validar vehículo y transportista de cada freight bid</x:v>
      </x:c>
      <x:c r="C13" s="11" t="str">
        <x:v>P</x:v>
      </x:c>
      <x:c r="D13" s="11" t="str">
        <x:v>Alta</x:v>
      </x:c>
      <x:c r="E13" s="11" t="str">
        <x:v>No iniciada</x:v>
      </x:c>
      <x:c r="F13" s="11" t="str">
        <x:v>El vehículo pertenece al actor ofertante</x:v>
      </x:c>
    </x:row>
    <x:row r="14">
      <x:c r="A14" s="11" t="str">
        <x:v>DB-13</x:v>
      </x:c>
      <x:c r="B14" s="11" t="str">
        <x:v>Validar una sola oferta de flete aceptada por envío</x:v>
      </x:c>
      <x:c r="C14" s="11" t="str">
        <x:v>P</x:v>
      </x:c>
      <x:c r="D14" s="11" t="str">
        <x:v>Crítica</x:v>
      </x:c>
      <x:c r="E14" s="11" t="str">
        <x:v>No iniciada</x:v>
      </x:c>
      <x:c r="F14" s="11" t="str">
        <x:v>Unique y transacción garantizan exclusividad</x:v>
      </x:c>
    </x:row>
    <x:row r="15">
      <x:c r="A15" s="11" t="str">
        <x:v>DB-14</x:v>
      </x:c>
      <x:c r="B15" s="11" t="str">
        <x:v>Validar secuencia y tipos de shipment_stops</x:v>
      </x:c>
      <x:c r="C15" s="11" t="str">
        <x:v>P</x:v>
      </x:c>
      <x:c r="D15" s="11" t="str">
        <x:v>Alta</x:v>
      </x:c>
      <x:c r="E15" s="11" t="str">
        <x:v>No iniciada</x:v>
      </x:c>
      <x:c r="F15" s="11" t="str">
        <x:v>Al menos un pickup y un delivery; secuencia única</x:v>
      </x:c>
    </x:row>
    <x:row r="16">
      <x:c r="A16" s="11" t="str">
        <x:v>DB-15</x:v>
      </x:c>
      <x:c r="B16" s="11" t="str">
        <x:v>Separar datos públicos y ubicación exacta</x:v>
      </x:c>
      <x:c r="C16" s="11" t="str">
        <x:v>R</x:v>
      </x:c>
      <x:c r="D16" s="11" t="str">
        <x:v>Crítica</x:v>
      </x:c>
      <x:c r="E16" s="11" t="str">
        <x:v>No iniciada</x:v>
      </x:c>
      <x:c r="F16" s="11" t="str">
        <x:v>Marketplace usa ubicación aproximada</x:v>
      </x:c>
    </x:row>
    <x:row r="17">
      <x:c r="A17" s="11" t="str">
        <x:v>DB-16</x:v>
      </x:c>
      <x:c r="B17" s="11" t="str">
        <x:v>Revisar enums frente a estados usados en frontend</x:v>
      </x:c>
      <x:c r="C17" s="11" t="str">
        <x:v>M</x:v>
      </x:c>
      <x:c r="D17" s="11" t="str">
        <x:v>Alta</x:v>
      </x:c>
      <x:c r="E17" s="11" t="str">
        <x:v>No iniciada</x:v>
      </x:c>
      <x:c r="F17" s="11" t="str">
        <x:v>Tipos TypeScript y PostgreSQL coinciden</x:v>
      </x:c>
    </x:row>
    <x:row r="18">
      <x:c r="A18" s="11" t="str">
        <x:v>DB-17</x:v>
      </x:c>
      <x:c r="B18" s="11" t="str">
        <x:v>Crear migración de seed idempotente</x:v>
      </x:c>
      <x:c r="C18" s="11" t="str">
        <x:v>R</x:v>
      </x:c>
      <x:c r="D18" s="11" t="str">
        <x:v>Alta</x:v>
      </x:c>
      <x:c r="E18" s="11" t="str">
        <x:v>No iniciada</x:v>
      </x:c>
      <x:c r="F18" s="11" t="str">
        <x:v>Puede ejecutarse más de una vez</x:v>
      </x:c>
    </x:row>
    <x:row r="19">
      <x:c r="A19" s="11" t="str">
        <x:v>DB-18</x:v>
      </x:c>
      <x:c r="B19" s="11" t="str">
        <x:v>Agregar pruebas SQL de RLS y negociación</x:v>
      </x:c>
      <x:c r="C19" s="11" t="str">
        <x:v>R</x:v>
      </x:c>
      <x:c r="D19" s="11" t="str">
        <x:v>Crítica</x:v>
      </x:c>
      <x:c r="E19" s="11" t="str">
        <x:v>No iniciada</x:v>
      </x:c>
      <x:c r="F19" s="11" t="str">
        <x:v>Casos positivos y negativos documentados</x:v>
      </x:c>
    </x:row>
    <x:row r="20">
      <x:c r="A20" s="11" t="str">
        <x:v>DB-19</x:v>
      </x:c>
      <x:c r="B20" s="11" t="str">
        <x:v>Revisar tablas de análisis para aceptar OPENAI, RULE_ENGINE y MANUAL</x:v>
      </x:c>
      <x:c r="C20" s="11" t="str">
        <x:v>P</x:v>
      </x:c>
      <x:c r="D20" s="11" t="str">
        <x:v>Alta</x:v>
      </x:c>
      <x:c r="E20" s="11" t="str">
        <x:v>No iniciada</x:v>
      </x:c>
      <x:c r="F20" s="11" t="str">
        <x:v>No existe GEMINI en proveedor</x:v>
      </x:c>
    </x:row>
    <x:row r="21">
      <x:c r="A21" s="11" t="str">
        <x:v>DB-20</x:v>
      </x:c>
      <x:c r="B21" s="11" t="str">
        <x:v>Crear archivo all-in-one solo después de validar scripts individuales</x:v>
      </x:c>
      <x:c r="C21" s="11" t="str">
        <x:v>R</x:v>
      </x:c>
      <x:c r="D21" s="11" t="str">
        <x:v>Media</x:v>
      </x:c>
      <x:c r="E21" s="11" t="str">
        <x:v>No iniciada</x:v>
      </x:c>
      <x:c r="F21" s="11" t="str">
        <x:v>Combinado coincide con migraciones finales</x:v>
      </x:c>
    </x:row>
  </x:sheetData>
  <x:dataValidations count="2">
    <x:dataValidation type="list" sqref="C2:C21">
      <x:formula1>"D,M,P,R"</x:formula1>
    </x:dataValidation>
    <x:dataValidation type="list" sqref="E2:E21">
      <x:formula1>"No iniciada,En progreso,Bloqueada,En revisión,Completada"</x:formula1>
    </x:dataValidation>
  </x:dataValidations>
  <x:pageMargins left="0.7" right="0.7" top="0.75" bottom="0.75" header="0.3" footer="0.3"/>
  <x:tableParts count="1">
    <x:tablePart xmlns:r="http://schemas.openxmlformats.org/officeDocument/2006/relationships" r:id="R84e0e15465f24895"/>
  </x:tableParts>
</x:worksheet>
</file>

<file path=xl/worksheets/sheet6.xml><?xml version="1.0" encoding="utf-8"?>
<x:worksheet xmlns:x="http://schemas.openxmlformats.org/spreadsheetml/2006/main">
  <x:sheetFormatPr defaultRowHeight="15"/>
  <x:cols>
    <x:col min="1" max="1" width="10" hidden="0" customWidth="1"/>
    <x:col min="2" max="2" width="40" hidden="0" customWidth="1"/>
    <x:col min="3" max="3" width="12" hidden="0" customWidth="1"/>
    <x:col min="4" max="4" width="12" hidden="0" customWidth="1"/>
    <x:col min="5" max="5" width="12" hidden="0" customWidth="1"/>
  </x:cols>
  <x:sheetData>
    <x:row r="1">
      <x:c r="A1" s="5" t="str">
        <x:v>ID</x:v>
      </x:c>
      <x:c r="B1" s="5" t="str">
        <x:v>Pantalla/Grupo</x:v>
      </x:c>
      <x:c r="C1" s="5" t="str">
        <x:v>Responsable</x:v>
      </x:c>
      <x:c r="D1" s="5" t="str">
        <x:v>Sprint</x:v>
      </x:c>
      <x:c r="E1" s="5" t="str">
        <x:v>Prioridad</x:v>
      </x:c>
    </x:row>
    <x:row r="2">
      <x:c r="A2" t="str">
        <x:v>UI-01</x:v>
      </x:c>
      <x:c r="B2" t="str">
        <x:v>Design System</x:v>
      </x:c>
      <x:c r="C2" t="str">
        <x:v>D</x:v>
      </x:c>
      <x:c r="D2" t="str">
        <x:v>Sprint 0</x:v>
      </x:c>
      <x:c r="E2" t="str">
        <x:v>Crítica</x:v>
      </x:c>
    </x:row>
    <x:row r="3">
      <x:c r="A3" t="str">
        <x:v>UI-02</x:v>
      </x:c>
      <x:c r="B3" t="str">
        <x:v>Landing</x:v>
      </x:c>
      <x:c r="C3" t="str">
        <x:v>D</x:v>
      </x:c>
      <x:c r="D3" t="str">
        <x:v>Sprint 1</x:v>
      </x:c>
      <x:c r="E3" t="str">
        <x:v>Alta</x:v>
      </x:c>
    </x:row>
    <x:row r="4">
      <x:c r="A4" t="str">
        <x:v>UI-03</x:v>
      </x:c>
      <x:c r="B4" t="str">
        <x:v>Login y registro</x:v>
      </x:c>
      <x:c r="C4" t="str">
        <x:v>D</x:v>
      </x:c>
      <x:c r="D4" t="str">
        <x:v>Sprint 1</x:v>
      </x:c>
      <x:c r="E4" t="str">
        <x:v>Crítica</x:v>
      </x:c>
    </x:row>
    <x:row r="5">
      <x:c r="A5" t="str">
        <x:v>UI-04</x:v>
      </x:c>
      <x:c r="B5" t="str">
        <x:v>Selección de rol</x:v>
      </x:c>
      <x:c r="C5" t="str">
        <x:v>D</x:v>
      </x:c>
      <x:c r="D5" t="str">
        <x:v>Sprint 1</x:v>
      </x:c>
      <x:c r="E5" t="str">
        <x:v>Crítica</x:v>
      </x:c>
    </x:row>
    <x:row r="6">
      <x:c r="A6" t="str">
        <x:v>UI-05</x:v>
      </x:c>
      <x:c r="B6" t="str">
        <x:v>Onboarding productor</x:v>
      </x:c>
      <x:c r="C6" t="str">
        <x:v>D</x:v>
      </x:c>
      <x:c r="D6" t="str">
        <x:v>Sprint 1</x:v>
      </x:c>
      <x:c r="E6" t="str">
        <x:v>Alta</x:v>
      </x:c>
    </x:row>
    <x:row r="7">
      <x:c r="A7" t="str">
        <x:v>UI-06</x:v>
      </x:c>
      <x:c r="B7" t="str">
        <x:v>Onboarding comprador</x:v>
      </x:c>
      <x:c r="C7" t="str">
        <x:v>D</x:v>
      </x:c>
      <x:c r="D7" t="str">
        <x:v>Sprint 1</x:v>
      </x:c>
      <x:c r="E7" t="str">
        <x:v>Alta</x:v>
      </x:c>
    </x:row>
    <x:row r="8">
      <x:c r="A8" t="str">
        <x:v>UI-07</x:v>
      </x:c>
      <x:c r="B8" t="str">
        <x:v>Onboarding transportista</x:v>
      </x:c>
      <x:c r="C8" t="str">
        <x:v>D</x:v>
      </x:c>
      <x:c r="D8" t="str">
        <x:v>Sprint 1</x:v>
      </x:c>
      <x:c r="E8" t="str">
        <x:v>Alta</x:v>
      </x:c>
    </x:row>
    <x:row r="9">
      <x:c r="A9" t="str">
        <x:v>UI-08</x:v>
      </x:c>
      <x:c r="B9" t="str">
        <x:v>Dashboard productor</x:v>
      </x:c>
      <x:c r="C9" t="str">
        <x:v>D</x:v>
      </x:c>
      <x:c r="D9" t="str">
        <x:v>Sprint 3</x:v>
      </x:c>
      <x:c r="E9" t="str">
        <x:v>Media</x:v>
      </x:c>
    </x:row>
    <x:row r="10">
      <x:c r="A10" t="str">
        <x:v>UI-09</x:v>
      </x:c>
      <x:c r="B10" t="str">
        <x:v>Dashboard comprador</x:v>
      </x:c>
      <x:c r="C10" t="str">
        <x:v>D</x:v>
      </x:c>
      <x:c r="D10" t="str">
        <x:v>Sprint 3</x:v>
      </x:c>
      <x:c r="E10" t="str">
        <x:v>Media</x:v>
      </x:c>
    </x:row>
    <x:row r="11">
      <x:c r="A11" t="str">
        <x:v>UI-10</x:v>
      </x:c>
      <x:c r="B11" t="str">
        <x:v>Dashboard transportista</x:v>
      </x:c>
      <x:c r="C11" t="str">
        <x:v>D</x:v>
      </x:c>
      <x:c r="D11" t="str">
        <x:v>Sprint 3</x:v>
      </x:c>
      <x:c r="E11" t="str">
        <x:v>Media</x:v>
      </x:c>
    </x:row>
    <x:row r="12">
      <x:c r="A12" t="str">
        <x:v>UI-11</x:v>
      </x:c>
      <x:c r="B12" t="str">
        <x:v>Marketplace cuadrícula</x:v>
      </x:c>
      <x:c r="C12" t="str">
        <x:v>D</x:v>
      </x:c>
      <x:c r="D12" t="str">
        <x:v>Sprint 1</x:v>
      </x:c>
      <x:c r="E12" t="str">
        <x:v>Crítica</x:v>
      </x:c>
    </x:row>
    <x:row r="13">
      <x:c r="A13" t="str">
        <x:v>UI-12</x:v>
      </x:c>
      <x:c r="B13" t="str">
        <x:v>Marketplace mapa</x:v>
      </x:c>
      <x:c r="C13" t="str">
        <x:v>D</x:v>
      </x:c>
      <x:c r="D13" t="str">
        <x:v>Sprint 3</x:v>
      </x:c>
      <x:c r="E13" t="str">
        <x:v>Alta</x:v>
      </x:c>
    </x:row>
    <x:row r="14">
      <x:c r="A14" t="str">
        <x:v>UI-13</x:v>
      </x:c>
      <x:c r="B14" t="str">
        <x:v>Detalle de producto</x:v>
      </x:c>
      <x:c r="C14" t="str">
        <x:v>D</x:v>
      </x:c>
      <x:c r="D14" t="str">
        <x:v>Sprint 1</x:v>
      </x:c>
      <x:c r="E14" t="str">
        <x:v>Crítica</x:v>
      </x:c>
    </x:row>
    <x:row r="15">
      <x:c r="A15" t="str">
        <x:v>UI-14</x:v>
      </x:c>
      <x:c r="B15" t="str">
        <x:v>Detalle de requerimiento</x:v>
      </x:c>
      <x:c r="C15" t="str">
        <x:v>D</x:v>
      </x:c>
      <x:c r="D15" t="str">
        <x:v>Sprint 1</x:v>
      </x:c>
      <x:c r="E15" t="str">
        <x:v>Crítica</x:v>
      </x:c>
    </x:row>
    <x:row r="16">
      <x:c r="A16" t="str">
        <x:v>UI-15</x:v>
      </x:c>
      <x:c r="B16" t="str">
        <x:v>Publicar producto</x:v>
      </x:c>
      <x:c r="C16" t="str">
        <x:v>D</x:v>
      </x:c>
      <x:c r="D16" t="str">
        <x:v>Sprint 1</x:v>
      </x:c>
      <x:c r="E16" t="str">
        <x:v>Crítica</x:v>
      </x:c>
    </x:row>
    <x:row r="17">
      <x:c r="A17" t="str">
        <x:v>UI-16</x:v>
      </x:c>
      <x:c r="B17" t="str">
        <x:v>Publicar requerimiento</x:v>
      </x:c>
      <x:c r="C17" t="str">
        <x:v>D</x:v>
      </x:c>
      <x:c r="D17" t="str">
        <x:v>Sprint 1</x:v>
      </x:c>
      <x:c r="E17" t="str">
        <x:v>Crítica</x:v>
      </x:c>
    </x:row>
    <x:row r="18">
      <x:c r="A18" t="str">
        <x:v>UI-17</x:v>
      </x:c>
      <x:c r="B18" t="str">
        <x:v>Modal oferta rápida</x:v>
      </x:c>
      <x:c r="C18" t="str">
        <x:v>D</x:v>
      </x:c>
      <x:c r="D18" t="str">
        <x:v>Sprint 2</x:v>
      </x:c>
      <x:c r="E18" t="str">
        <x:v>Crítica</x:v>
      </x:c>
    </x:row>
    <x:row r="19">
      <x:c r="A19" t="str">
        <x:v>UI-18</x:v>
      </x:c>
      <x:c r="B19" t="str">
        <x:v>Oferta rechazada/aceptada</x:v>
      </x:c>
      <x:c r="C19" t="str">
        <x:v>D</x:v>
      </x:c>
      <x:c r="D19" t="str">
        <x:v>Sprint 2</x:v>
      </x:c>
      <x:c r="E19" t="str">
        <x:v>Crítica</x:v>
      </x:c>
    </x:row>
    <x:row r="20">
      <x:c r="A20" t="str">
        <x:v>UI-19</x:v>
      </x:c>
      <x:c r="B20" t="str">
        <x:v>Bandeja de conversaciones</x:v>
      </x:c>
      <x:c r="C20" t="str">
        <x:v>D</x:v>
      </x:c>
      <x:c r="D20" t="str">
        <x:v>Sprint 2</x:v>
      </x:c>
      <x:c r="E20" t="str">
        <x:v>Alta</x:v>
      </x:c>
    </x:row>
    <x:row r="21">
      <x:c r="A21" t="str">
        <x:v>UI-20</x:v>
      </x:c>
      <x:c r="B21" t="str">
        <x:v>Sala de negociación</x:v>
      </x:c>
      <x:c r="C21" t="str">
        <x:v>D</x:v>
      </x:c>
      <x:c r="D21" t="str">
        <x:v>Sprint 2</x:v>
      </x:c>
      <x:c r="E21" t="str">
        <x:v>Crítica</x:v>
      </x:c>
    </x:row>
    <x:row r="22">
      <x:c r="A22" t="str">
        <x:v>UI-21</x:v>
      </x:c>
      <x:c r="B22" t="str">
        <x:v>Propuesta estructurada</x:v>
      </x:c>
      <x:c r="C22" t="str">
        <x:v>D</x:v>
      </x:c>
      <x:c r="D22" t="str">
        <x:v>Sprint 2</x:v>
      </x:c>
      <x:c r="E22" t="str">
        <x:v>Crítica</x:v>
      </x:c>
    </x:row>
    <x:row r="23">
      <x:c r="A23" t="str">
        <x:v>UI-22</x:v>
      </x:c>
      <x:c r="B23" t="str">
        <x:v>Selección de productores</x:v>
      </x:c>
      <x:c r="C23" t="str">
        <x:v>D</x:v>
      </x:c>
      <x:c r="D23" t="str">
        <x:v>Sprint 2</x:v>
      </x:c>
      <x:c r="E23" t="str">
        <x:v>Alta</x:v>
      </x:c>
    </x:row>
    <x:row r="24">
      <x:c r="A24" t="str">
        <x:v>UI-23</x:v>
      </x:c>
      <x:c r="B24" t="str">
        <x:v>Resumen y detalle de orden</x:v>
      </x:c>
      <x:c r="C24" t="str">
        <x:v>D</x:v>
      </x:c>
      <x:c r="D24" t="str">
        <x:v>Sprint 2</x:v>
      </x:c>
      <x:c r="E24" t="str">
        <x:v>Alta</x:v>
      </x:c>
    </x:row>
    <x:row r="25">
      <x:c r="A25" t="str">
        <x:v>UI-24</x:v>
      </x:c>
      <x:c r="B25" t="str">
        <x:v>Selector de logística</x:v>
      </x:c>
      <x:c r="C25" t="str">
        <x:v>D</x:v>
      </x:c>
      <x:c r="D25" t="str">
        <x:v>Sprint 2</x:v>
      </x:c>
      <x:c r="E25" t="str">
        <x:v>Crítica</x:v>
      </x:c>
    </x:row>
    <x:row r="26">
      <x:c r="A26" t="str">
        <x:v>UI-25</x:v>
      </x:c>
      <x:c r="B26" t="str">
        <x:v>Crear solicitud de flete</x:v>
      </x:c>
      <x:c r="C26" t="str">
        <x:v>D</x:v>
      </x:c>
      <x:c r="D26" t="str">
        <x:v>Sprint 2</x:v>
      </x:c>
      <x:c r="E26" t="str">
        <x:v>Crítica</x:v>
      </x:c>
    </x:row>
    <x:row r="27">
      <x:c r="A27" t="str">
        <x:v>UI-26</x:v>
      </x:c>
      <x:c r="B27" t="str">
        <x:v>Marketplace de cargas</x:v>
      </x:c>
      <x:c r="C27" t="str">
        <x:v>D</x:v>
      </x:c>
      <x:c r="D27" t="str">
        <x:v>Sprint 2</x:v>
      </x:c>
      <x:c r="E27" t="str">
        <x:v>Crítica</x:v>
      </x:c>
    </x:row>
    <x:row r="28">
      <x:c r="A28" t="str">
        <x:v>UI-27</x:v>
      </x:c>
      <x:c r="B28" t="str">
        <x:v>Detalle de carga</x:v>
      </x:c>
      <x:c r="C28" t="str">
        <x:v>D</x:v>
      </x:c>
      <x:c r="D28" t="str">
        <x:v>Sprint 2</x:v>
      </x:c>
      <x:c r="E28" t="str">
        <x:v>Crítica</x:v>
      </x:c>
    </x:row>
    <x:row r="29">
      <x:c r="A29" t="str">
        <x:v>UI-28</x:v>
      </x:c>
      <x:c r="B29" t="str">
        <x:v>Enviar oferta de flete</x:v>
      </x:c>
      <x:c r="C29" t="str">
        <x:v>D</x:v>
      </x:c>
      <x:c r="D29" t="str">
        <x:v>Sprint 2</x:v>
      </x:c>
      <x:c r="E29" t="str">
        <x:v>Alta</x:v>
      </x:c>
    </x:row>
    <x:row r="30">
      <x:c r="A30" t="str">
        <x:v>UI-29</x:v>
      </x:c>
      <x:c r="B30" t="str">
        <x:v>Comparar transportistas</x:v>
      </x:c>
      <x:c r="C30" t="str">
        <x:v>D</x:v>
      </x:c>
      <x:c r="D30" t="str">
        <x:v>Sprint 2</x:v>
      </x:c>
      <x:c r="E30" t="str">
        <x:v>Crítica</x:v>
      </x:c>
    </x:row>
    <x:row r="31">
      <x:c r="A31" t="str">
        <x:v>UI-30</x:v>
      </x:c>
      <x:c r="B31" t="str">
        <x:v>Perfil transportista/empresa</x:v>
      </x:c>
      <x:c r="C31" t="str">
        <x:v>D</x:v>
      </x:c>
      <x:c r="D31" t="str">
        <x:v>Sprint 3</x:v>
      </x:c>
      <x:c r="E31" t="str">
        <x:v>Media</x:v>
      </x:c>
    </x:row>
    <x:row r="32">
      <x:c r="A32" t="str">
        <x:v>UI-31</x:v>
      </x:c>
      <x:c r="B32" t="str">
        <x:v>Detalle de vehículo</x:v>
      </x:c>
      <x:c r="C32" t="str">
        <x:v>D</x:v>
      </x:c>
      <x:c r="D32" t="str">
        <x:v>Sprint 3</x:v>
      </x:c>
      <x:c r="E32" t="str">
        <x:v>Media</x:v>
      </x:c>
    </x:row>
    <x:row r="33">
      <x:c r="A33" t="str">
        <x:v>UI-32</x:v>
      </x:c>
      <x:c r="B33" t="str">
        <x:v>Detalle de riesgo</x:v>
      </x:c>
      <x:c r="C33" t="str">
        <x:v>D</x:v>
      </x:c>
      <x:c r="D33" t="str">
        <x:v>Sprint 3</x:v>
      </x:c>
      <x:c r="E33" t="str">
        <x:v>Crítica</x:v>
      </x:c>
    </x:row>
    <x:row r="34">
      <x:c r="A34" t="str">
        <x:v>UI-33</x:v>
      </x:c>
      <x:c r="B34" t="str">
        <x:v>Mapa y ruta</x:v>
      </x:c>
      <x:c r="C34" t="str">
        <x:v>D</x:v>
      </x:c>
      <x:c r="D34" t="str">
        <x:v>Sprint 3</x:v>
      </x:c>
      <x:c r="E34" t="str">
        <x:v>Crítica</x:v>
      </x:c>
    </x:row>
    <x:row r="35">
      <x:c r="A35" t="str">
        <x:v>UI-34</x:v>
      </x:c>
      <x:c r="B35" t="str">
        <x:v>Seguimiento de viaje</x:v>
      </x:c>
      <x:c r="C35" t="str">
        <x:v>D</x:v>
      </x:c>
      <x:c r="D35" t="str">
        <x:v>Sprint 3</x:v>
      </x:c>
      <x:c r="E35" t="str">
        <x:v>Alta</x:v>
      </x:c>
    </x:row>
    <x:row r="36">
      <x:c r="A36" t="str">
        <x:v>UI-35</x:v>
      </x:c>
      <x:c r="B36" t="str">
        <x:v>Registrar recojo</x:v>
      </x:c>
      <x:c r="C36" t="str">
        <x:v>D</x:v>
      </x:c>
      <x:c r="D36" t="str">
        <x:v>Sprint 3</x:v>
      </x:c>
      <x:c r="E36" t="str">
        <x:v>Alta</x:v>
      </x:c>
    </x:row>
    <x:row r="37">
      <x:c r="A37" t="str">
        <x:v>UI-36</x:v>
      </x:c>
      <x:c r="B37" t="str">
        <x:v>Registrar entrega</x:v>
      </x:c>
      <x:c r="C37" t="str">
        <x:v>D</x:v>
      </x:c>
      <x:c r="D37" t="str">
        <x:v>Sprint 3</x:v>
      </x:c>
      <x:c r="E37" t="str">
        <x:v>Alta</x:v>
      </x:c>
    </x:row>
    <x:row r="38">
      <x:c r="A38" t="str">
        <x:v>UI-37</x:v>
      </x:c>
      <x:c r="B38" t="str">
        <x:v>Reportar incidencia</x:v>
      </x:c>
      <x:c r="C38" t="str">
        <x:v>D</x:v>
      </x:c>
      <x:c r="D38" t="str">
        <x:v>Sprint 3</x:v>
      </x:c>
      <x:c r="E38" t="str">
        <x:v>Media</x:v>
      </x:c>
    </x:row>
    <x:row r="39">
      <x:c r="A39" t="str">
        <x:v>UI-38</x:v>
      </x:c>
      <x:c r="B39" t="str">
        <x:v>Perfiles públicos</x:v>
      </x:c>
      <x:c r="C39" t="str">
        <x:v>D</x:v>
      </x:c>
      <x:c r="D39" t="str">
        <x:v>Sprint 3</x:v>
      </x:c>
      <x:c r="E39" t="str">
        <x:v>Media</x:v>
      </x:c>
    </x:row>
    <x:row r="40">
      <x:c r="A40" t="str">
        <x:v>UI-39</x:v>
      </x:c>
      <x:c r="B40" t="str">
        <x:v>Notificaciones</x:v>
      </x:c>
      <x:c r="C40" t="str">
        <x:v>D</x:v>
      </x:c>
      <x:c r="D40" t="str">
        <x:v>Sprint 3</x:v>
      </x:c>
      <x:c r="E40" t="str">
        <x:v>Media</x:v>
      </x:c>
    </x:row>
    <x:row r="41">
      <x:c r="A41" t="str">
        <x:v>UI-40</x:v>
      </x:c>
      <x:c r="B41" t="str">
        <x:v>Configuración</x:v>
      </x:c>
      <x:c r="C41" t="str">
        <x:v>D</x:v>
      </x:c>
      <x:c r="D41" t="str">
        <x:v>Sprint 3</x:v>
      </x:c>
      <x:c r="E41" t="str">
        <x:v>Baja</x:v>
      </x:c>
    </x:row>
    <x:row r="42">
      <x:c r="A42" t="str">
        <x:v>UI-41</x:v>
      </x:c>
      <x:c r="B42" t="str">
        <x:v>Planes y créditos</x:v>
      </x:c>
      <x:c r="C42" t="str">
        <x:v>D</x:v>
      </x:c>
      <x:c r="D42" t="str">
        <x:v>Sprint 4</x:v>
      </x:c>
      <x:c r="E42" t="str">
        <x:v>Baja</x:v>
      </x:c>
    </x:row>
    <x:row r="43">
      <x:c r="A43" t="str">
        <x:v>UI-42</x:v>
      </x:c>
      <x:c r="B43" t="str">
        <x:v>Dashboard admin</x:v>
      </x:c>
      <x:c r="C43" t="str">
        <x:v>D</x:v>
      </x:c>
      <x:c r="D43" t="str">
        <x:v>Sprint 3</x:v>
      </x:c>
      <x:c r="E43" t="str">
        <x:v>Media</x:v>
      </x:c>
    </x:row>
    <x:row r="44">
      <x:c r="A44" t="str">
        <x:v>UI-43</x:v>
      </x:c>
      <x:c r="B44" t="str">
        <x:v>Eventos de riesgo admin</x:v>
      </x:c>
      <x:c r="C44" t="str">
        <x:v>D</x:v>
      </x:c>
      <x:c r="D44" t="str">
        <x:v>Sprint 3</x:v>
      </x:c>
      <x:c r="E44" t="str">
        <x:v>Alta</x:v>
      </x:c>
    </x:row>
    <x:row r="45">
      <x:c r="A45" t="str">
        <x:v>UI-44</x:v>
      </x:c>
      <x:c r="B45" t="str">
        <x:v>Observaciones de precios admin</x:v>
      </x:c>
      <x:c r="C45" t="str">
        <x:v>D</x:v>
      </x:c>
      <x:c r="D45" t="str">
        <x:v>Sprint 3</x:v>
      </x:c>
      <x:c r="E45" t="str">
        <x:v>Media</x:v>
      </x:c>
    </x:row>
    <x:row r="46">
      <x:c r="A46" t="str">
        <x:v>UI-45</x:v>
      </x:c>
      <x:c r="B46" t="str">
        <x:v>Verificación y moderación</x:v>
      </x:c>
      <x:c r="C46" t="str">
        <x:v>D</x:v>
      </x:c>
      <x:c r="D46" t="str">
        <x:v>Sprint 4</x:v>
      </x:c>
      <x:c r="E46" t="str">
        <x:v>Baja</x:v>
      </x:c>
    </x:row>
    <x:row r="47">
      <x:c r="A47" t="str">
        <x:v>UI-46</x:v>
      </x:c>
      <x:c r="B47" t="str">
        <x:v>Loading/empty/error/offline</x:v>
      </x:c>
      <x:c r="C47" t="str">
        <x:v>D</x:v>
      </x:c>
      <x:c r="D47" t="str">
        <x:v>Sprint 3</x:v>
      </x:c>
      <x:c r="E47" t="str">
        <x:v>Alta</x:v>
      </x:c>
    </x:row>
  </x:sheetData>
  <x:pageMargins left="0.7" right="0.7" top="0.75" bottom="0.75" header="0.3" footer="0.3"/>
  <x:tableParts count="1">
    <x:tablePart xmlns:r="http://schemas.openxmlformats.org/officeDocument/2006/relationships" r:id="Rca5ac313cec34dfe"/>
  </x:tableParts>
</x:worksheet>
</file>

<file path=xl/worksheets/sheet7.xml><?xml version="1.0" encoding="utf-8"?>
<x:worksheet xmlns:x="http://schemas.openxmlformats.org/spreadsheetml/2006/main">
  <x:sheetFormatPr defaultRowHeight="15"/>
  <x:cols>
    <x:col min="1" max="1" width="10" hidden="0" customWidth="1"/>
    <x:col min="2" max="2" width="42" hidden="0" customWidth="1"/>
    <x:col min="3" max="3" width="14" hidden="0" customWidth="1"/>
    <x:col min="4" max="4" width="14" hidden="0" customWidth="1"/>
    <x:col min="5" max="5" width="12" hidden="0" customWidth="1"/>
    <x:col min="6" max="6" width="54" hidden="0" customWidth="1"/>
  </x:cols>
  <x:sheetData>
    <x:row r="1">
      <x:c r="A1" s="10" t="str">
        <x:v>ID</x:v>
      </x:c>
      <x:c r="B1" s="10" t="str">
        <x:v>Riesgo</x:v>
      </x:c>
      <x:c r="C1" s="10" t="str">
        <x:v>Impacto</x:v>
      </x:c>
      <x:c r="D1" s="10" t="str">
        <x:v>Probabilidad</x:v>
      </x:c>
      <x:c r="E1" s="10" t="str">
        <x:v>Responsable</x:v>
      </x:c>
      <x:c r="F1" s="10" t="str">
        <x:v>Mitigación</x:v>
      </x:c>
    </x:row>
    <x:row r="2">
      <x:c r="A2" s="11" t="str">
        <x:v>RSK-01</x:v>
      </x:c>
      <x:c r="B2" s="11" t="str">
        <x:v>La base existente no ejecuta limpia</x:v>
      </x:c>
      <x:c r="C2" s="11" t="str">
        <x:v>Alta</x:v>
      </x:c>
      <x:c r="D2" s="11" t="str">
        <x:v>Alta</x:v>
      </x:c>
      <x:c r="E2" s="11" t="str">
        <x:v>R</x:v>
      </x:c>
      <x:c r="F2" s="11" t="str">
        <x:v>Auditar en Sprint 0 y migrar desde cero antes de integrar frontend</x:v>
      </x:c>
    </x:row>
    <x:row r="3">
      <x:c r="A3" s="11" t="str">
        <x:v>RSK-02</x:v>
      </x:c>
      <x:c r="B3" s="11" t="str">
        <x:v>Se expone el mínimo privado</x:v>
      </x:c>
      <x:c r="C3" s="11" t="str">
        <x:v>Crítica</x:v>
      </x:c>
      <x:c r="D3" s="11" t="str">
        <x:v>Media</x:v>
      </x:c>
      <x:c r="E3" s="11" t="str">
        <x:v>R</x:v>
      </x:c>
      <x:c r="F3" s="11" t="str">
        <x:v>RLS, RPC server-side y pruebas de red/cliente</x:v>
      </x:c>
    </x:row>
    <x:row r="4">
      <x:c r="A4" s="11" t="str">
        <x:v>RSK-03</x:v>
      </x:c>
      <x:c r="B4" s="11" t="str">
        <x:v>Venta doble por concurrencia</x:v>
      </x:c>
      <x:c r="C4" s="11" t="str">
        <x:v>Crítica</x:v>
      </x:c>
      <x:c r="D4" s="11" t="str">
        <x:v>Media</x:v>
      </x:c>
      <x:c r="E4" s="11" t="str">
        <x:v>R</x:v>
      </x:c>
      <x:c r="F4" s="11" t="str">
        <x:v>Row lock y prueba con solicitudes simultáneas</x:v>
      </x:c>
    </x:row>
    <x:row r="5">
      <x:c r="A5" s="11" t="str">
        <x:v>RSK-04</x:v>
      </x:c>
      <x:c r="B5" s="11" t="str">
        <x:v>Marketplace vacío en la demo</x:v>
      </x:c>
      <x:c r="C5" s="11" t="str">
        <x:v>Alta</x:v>
      </x:c>
      <x:c r="D5" s="11" t="str">
        <x:v>Alta</x:v>
      </x:c>
      <x:c r="E5" s="11" t="str">
        <x:v>M</x:v>
      </x:c>
      <x:c r="F5" s="11" t="str">
        <x:v>Seed completo y cuentas preparadas</x:v>
      </x:c>
    </x:row>
    <x:row r="6">
      <x:c r="A6" s="11" t="str">
        <x:v>RSK-05</x:v>
      </x:c>
      <x:c r="B6" s="11" t="str">
        <x:v>OpenAI o búsqueda web falla</x:v>
      </x:c>
      <x:c r="C6" s="11" t="str">
        <x:v>Alta</x:v>
      </x:c>
      <x:c r="D6" s="11" t="str">
        <x:v>Media</x:v>
      </x:c>
      <x:c r="E6" s="11" t="str">
        <x:v>P</x:v>
      </x:c>
      <x:c r="F6" s="11" t="str">
        <x:v>Caché, eventos semilla y fallback manual</x:v>
      </x:c>
    </x:row>
    <x:row r="7">
      <x:c r="A7" s="11" t="str">
        <x:v>RSK-06</x:v>
      </x:c>
      <x:c r="B7" s="11" t="str">
        <x:v>Mapbox falla o no carga</x:v>
      </x:c>
      <x:c r="C7" s="11" t="str">
        <x:v>Alta</x:v>
      </x:c>
      <x:c r="D7" s="11" t="str">
        <x:v>Baja</x:v>
      </x:c>
      <x:c r="E7" s="11" t="str">
        <x:v>P</x:v>
      </x:c>
      <x:c r="F7" s="11" t="str">
        <x:v>Ruta guardada y captura de respaldo</x:v>
      </x:c>
    </x:row>
    <x:row r="8">
      <x:c r="A8" s="11" t="str">
        <x:v>RSK-07</x:v>
      </x:c>
      <x:c r="B8" s="11" t="str">
        <x:v>Demasiadas pantallas para el tiempo</x:v>
      </x:c>
      <x:c r="C8" s="11" t="str">
        <x:v>Alta</x:v>
      </x:c>
      <x:c r="D8" s="11" t="str">
        <x:v>Alta</x:v>
      </x:c>
      <x:c r="E8" s="11" t="str">
        <x:v>D</x:v>
      </x:c>
      <x:c r="F8" s="11" t="str">
        <x:v>Priorizar pantallas críticas y reutilizar componentes</x:v>
      </x:c>
    </x:row>
    <x:row r="9">
      <x:c r="A9" s="11" t="str">
        <x:v>RSK-08</x:v>
      </x:c>
      <x:c r="B9" s="11" t="str">
        <x:v>RLS bloquea operaciones válidas</x:v>
      </x:c>
      <x:c r="C9" s="11" t="str">
        <x:v>Alta</x:v>
      </x:c>
      <x:c r="D9" s="11" t="str">
        <x:v>Media</x:v>
      </x:c>
      <x:c r="E9" s="11" t="str">
        <x:v>R</x:v>
      </x:c>
      <x:c r="F9" s="11" t="str">
        <x:v>Probar cada rol antes de Sprint 2</x:v>
      </x:c>
    </x:row>
    <x:row r="10">
      <x:c r="A10" s="11" t="str">
        <x:v>RSK-09</x:v>
      </x:c>
      <x:c r="B10" s="11" t="str">
        <x:v>El equipo se bloquea por contratos inconsistentes</x:v>
      </x:c>
      <x:c r="C10" s="11" t="str">
        <x:v>Alta</x:v>
      </x:c>
      <x:c r="D10" s="11" t="str">
        <x:v>Media</x:v>
      </x:c>
      <x:c r="E10" s="11" t="str">
        <x:v>R</x:v>
      </x:c>
      <x:c r="F10" s="11" t="str">
        <x:v>Tipos compartidos en Sprint 0 y cambios por PR</x:v>
      </x:c>
    </x:row>
    <x:row r="11">
      <x:c r="A11" s="11" t="str">
        <x:v>RSK-10</x:v>
      </x:c>
      <x:c r="B11" s="11" t="str">
        <x:v>Negociación conversacional se vuelve compleja</x:v>
      </x:c>
      <x:c r="C11" s="11" t="str">
        <x:v>Media</x:v>
      </x:c>
      <x:c r="D11" s="11" t="str">
        <x:v>Alta</x:v>
      </x:c>
      <x:c r="E11" s="11" t="str">
        <x:v>M</x:v>
      </x:c>
      <x:c r="F11" s="11" t="str">
        <x:v>Solo texto, imágenes y propuesta estructurada en MVP</x:v>
      </x:c>
    </x:row>
    <x:row r="12">
      <x:c r="A12" s="11" t="str">
        <x:v>RSK-11</x:v>
      </x:c>
      <x:c r="B12" s="11" t="str">
        <x:v>Precio sugerido parece precio impuesto</x:v>
      </x:c>
      <x:c r="C12" s="11" t="str">
        <x:v>Alta</x:v>
      </x:c>
      <x:c r="D12" s="11" t="str">
        <x:v>Media</x:v>
      </x:c>
      <x:c r="E12" s="11" t="str">
        <x:v>M</x:v>
      </x:c>
      <x:c r="F12" s="11" t="str">
        <x:v>Usar rango, confianza y edición libre en toda la UI</x:v>
      </x:c>
    </x:row>
    <x:row r="13">
      <x:c r="A13" s="11" t="str">
        <x:v>RSK-12</x:v>
      </x:c>
      <x:c r="B13" s="11" t="str">
        <x:v>Riesgo se interpreta como reputación del productor</x:v>
      </x:c>
      <x:c r="C13" s="11" t="str">
        <x:v>Alta</x:v>
      </x:c>
      <x:c r="D13" s="11" t="str">
        <x:v>Media</x:v>
      </x:c>
      <x:c r="E13" s="11" t="str">
        <x:v>P</x:v>
      </x:c>
      <x:c r="F13" s="11" t="str">
        <x:v>Nombrar riesgo de acceso/ruta y explicar fuente</x:v>
      </x:c>
    </x:row>
    <x:row r="14">
      <x:c r="A14" s="11" t="str">
        <x:v>RSK-13</x:v>
      </x:c>
      <x:c r="B14" s="11" t="str">
        <x:v>No hay tiempo para monetización completa</x:v>
      </x:c>
      <x:c r="C14" s="11" t="str">
        <x:v>Baja</x:v>
      </x:c>
      <x:c r="D14" s="11" t="str">
        <x:v>Alta</x:v>
      </x:c>
      <x:c r="E14" s="11" t="str">
        <x:v>M</x:v>
      </x:c>
      <x:c r="F14" s="11" t="str">
        <x:v>Mostrar planes como prototipo; no implementar cobros</x:v>
      </x:c>
    </x:row>
    <x:row r="15">
      <x:c r="A15" s="11" t="str">
        <x:v>RSK-14</x:v>
      </x:c>
      <x:c r="B15" s="11" t="str">
        <x:v>Demo depende de conectividad</x:v>
      </x:c>
      <x:c r="C15" s="11" t="str">
        <x:v>Alta</x:v>
      </x:c>
      <x:c r="D15" s="11" t="str">
        <x:v>Media</x:v>
      </x:c>
      <x:c r="E15" s="11" t="str">
        <x:v>P</x:v>
      </x:c>
      <x:c r="F15" s="11" t="str">
        <x:v>Video, capturas y respuestas cacheadas</x:v>
      </x:c>
    </x:row>
  </x:sheetData>
  <x:conditionalFormatting sqref="C2:C15">
    <x:cfRule type="expression" dxfId="5" priority="1">
      <x:formula>C2="Crítica"</x:formula>
    </x:cfRule>
    <x:cfRule type="expression" dxfId="6" priority="2">
      <x:formula>C2="Alta"</x:formula>
    </x:cfRule>
  </x:conditionalFormatting>
  <x:pageMargins left="0.7" right="0.7" top="0.75" bottom="0.75" header="0.3" footer="0.3"/>
  <x:tableParts count="1">
    <x:tablePart xmlns:r="http://schemas.openxmlformats.org/officeDocument/2006/relationships" r:id="Rd27c38b5ddfa4b5e"/>
  </x:tableParts>
</x:worksheet>
</file>

<file path=xl/worksheets/sheet8.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s>
  <x:sheetData>
    <x:row r="1">
      <x:c r="A1" s="5" t="str">
        <x:v>Status</x:v>
      </x:c>
      <x:c r="B1" s="5" t="str">
        <x:v>Priority</x:v>
      </x:c>
      <x:c r="C1" s="5" t="str">
        <x:v>Owner</x:v>
      </x:c>
      <x:c r="D1" s="5" t="str">
        <x:v>Sprint</x:v>
      </x:c>
    </x:row>
    <x:row r="2">
      <x:c r="A2" t="str">
        <x:v>No iniciada</x:v>
      </x:c>
      <x:c r="B2" t="str">
        <x:v>Crítica</x:v>
      </x:c>
      <x:c r="C2" t="str">
        <x:v>D</x:v>
      </x:c>
      <x:c r="D2" t="str">
        <x:v>Sprint 0</x:v>
      </x:c>
    </x:row>
    <x:row r="3">
      <x:c r="A3" t="str">
        <x:v>En progreso</x:v>
      </x:c>
      <x:c r="B3" t="str">
        <x:v>Alta</x:v>
      </x:c>
      <x:c r="C3" t="str">
        <x:v>M</x:v>
      </x:c>
      <x:c r="D3" t="str">
        <x:v>Sprint 1</x:v>
      </x:c>
    </x:row>
    <x:row r="4">
      <x:c r="A4" t="str">
        <x:v>Bloqueada</x:v>
      </x:c>
      <x:c r="B4" t="str">
        <x:v>Media</x:v>
      </x:c>
      <x:c r="C4" t="str">
        <x:v>P</x:v>
      </x:c>
      <x:c r="D4" t="str">
        <x:v>Sprint 2</x:v>
      </x:c>
    </x:row>
    <x:row r="5">
      <x:c r="A5" t="str">
        <x:v>En revisión</x:v>
      </x:c>
      <x:c r="B5" t="str">
        <x:v>Baja</x:v>
      </x:c>
      <x:c r="C5" t="str">
        <x:v>R</x:v>
      </x:c>
      <x:c r="D5" t="str">
        <x:v>Sprint 3</x:v>
      </x:c>
    </x:row>
    <x:row r="6">
      <x:c r="A6" t="str">
        <x:v>Completada</x:v>
      </x:c>
      <x:c r="B6" t="str"/>
      <x:c r="C6" t="str"/>
      <x:c r="D6" t="str">
        <x:v>Sprint 4</x:v>
      </x:c>
    </x:row>
    <x:row r="7">
      <x:c r="A7" t="str">
        <x:v>Descartada</x:v>
      </x:c>
      <x:c r="B7" t="str"/>
      <x:c r="C7" t="str"/>
      <x:c r="D7" t="str"/>
    </x:row>
    <x:row r="8">
      <x:c r="A8" t="str">
        <x:v>En espera</x:v>
      </x:c>
      <x:c r="B8" t="str"/>
      <x:c r="C8" t="str"/>
      <x:c r="D8" t="str"/>
    </x:row>
  </x:sheetData>
  <x:pageMargins left="0.7" right="0.7" top="0.75" bottom="0.75" header="0.3" footer="0.3"/>
</x:worksheet>
</file>